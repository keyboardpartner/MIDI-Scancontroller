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FatarScanController\AVR\MIDI-Scancontroller\docs\"/>
    </mc:Choice>
  </mc:AlternateContent>
  <bookViews>
    <workbookView xWindow="360" yWindow="60" windowWidth="30915" windowHeight="16425"/>
  </bookViews>
  <sheets>
    <sheet name="ScanController" sheetId="1" r:id="rId1"/>
    <sheet name="HX3 Framework" sheetId="4" r:id="rId2"/>
  </sheets>
  <calcPr calcId="162913"/>
</workbook>
</file>

<file path=xl/calcChain.xml><?xml version="1.0" encoding="utf-8"?>
<calcChain xmlns="http://schemas.openxmlformats.org/spreadsheetml/2006/main">
  <c r="G7" i="1" l="1"/>
  <c r="I7" i="1"/>
  <c r="L7" i="1" s="1"/>
  <c r="J7" i="1"/>
  <c r="K7" i="1"/>
  <c r="M7" i="1"/>
  <c r="N7" i="1"/>
  <c r="G8" i="1"/>
  <c r="I8" i="1"/>
  <c r="J8" i="1"/>
  <c r="K8" i="1"/>
  <c r="M8" i="1"/>
  <c r="N8" i="1"/>
  <c r="A7" i="1"/>
  <c r="A8" i="1"/>
  <c r="A9" i="1"/>
  <c r="A10" i="1"/>
  <c r="L8" i="1" l="1"/>
  <c r="N5" i="1"/>
  <c r="I5" i="1"/>
  <c r="K5" i="1"/>
  <c r="M5" i="1"/>
  <c r="M14" i="1" l="1"/>
  <c r="M3" i="1"/>
  <c r="M4" i="1"/>
  <c r="M6" i="1"/>
  <c r="M9" i="1"/>
  <c r="M10" i="1"/>
  <c r="M11" i="1"/>
  <c r="M12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2" i="1"/>
  <c r="I3" i="1"/>
  <c r="K3" i="1"/>
  <c r="I4" i="1"/>
  <c r="K4" i="1"/>
  <c r="I6" i="1"/>
  <c r="K6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K14" i="1"/>
  <c r="I15" i="1"/>
  <c r="K15" i="1"/>
  <c r="I16" i="1"/>
  <c r="K16" i="1"/>
  <c r="I17" i="1"/>
  <c r="K17" i="1"/>
  <c r="I18" i="1"/>
  <c r="J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J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J52" i="1"/>
  <c r="K52" i="1"/>
  <c r="I53" i="1"/>
  <c r="K53" i="1"/>
  <c r="I54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G2" i="1"/>
  <c r="N13" i="1"/>
  <c r="N3" i="1"/>
  <c r="N4" i="1"/>
  <c r="N6" i="1"/>
  <c r="N9" i="1"/>
  <c r="N10" i="1"/>
  <c r="N11" i="1"/>
  <c r="N12" i="1"/>
  <c r="N2" i="1"/>
  <c r="K2" i="1"/>
  <c r="J2" i="1"/>
  <c r="I2" i="1"/>
  <c r="A54" i="4"/>
  <c r="H49" i="4"/>
  <c r="I49" i="4"/>
  <c r="K49" i="4" s="1"/>
  <c r="J49" i="4"/>
  <c r="A49" i="4"/>
  <c r="A50" i="4"/>
  <c r="H44" i="4"/>
  <c r="K44" i="4" s="1"/>
  <c r="I44" i="4"/>
  <c r="J44" i="4"/>
  <c r="H36" i="4"/>
  <c r="I36" i="4"/>
  <c r="K36" i="4" s="1"/>
  <c r="J36" i="4"/>
  <c r="H33" i="4"/>
  <c r="I33" i="4"/>
  <c r="K33" i="4" s="1"/>
  <c r="J33" i="4"/>
  <c r="H23" i="4"/>
  <c r="I23" i="4"/>
  <c r="J23" i="4"/>
  <c r="H53" i="4"/>
  <c r="I53" i="4"/>
  <c r="J53" i="4"/>
  <c r="L2" i="4"/>
  <c r="L3" i="4"/>
  <c r="L4" i="4"/>
  <c r="L5" i="4"/>
  <c r="L6" i="4"/>
  <c r="L7" i="4"/>
  <c r="L8" i="4"/>
  <c r="L9" i="4"/>
  <c r="L10" i="4"/>
  <c r="L11" i="4"/>
  <c r="L12" i="4"/>
  <c r="L1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4" i="4"/>
  <c r="J25" i="4"/>
  <c r="J26" i="4"/>
  <c r="J27" i="4"/>
  <c r="J28" i="4"/>
  <c r="J29" i="4"/>
  <c r="J30" i="4"/>
  <c r="J31" i="4"/>
  <c r="J32" i="4"/>
  <c r="J34" i="4"/>
  <c r="J35" i="4"/>
  <c r="J37" i="4"/>
  <c r="J38" i="4"/>
  <c r="J39" i="4"/>
  <c r="J40" i="4"/>
  <c r="J41" i="4"/>
  <c r="J42" i="4"/>
  <c r="J43" i="4"/>
  <c r="J45" i="4"/>
  <c r="J46" i="4"/>
  <c r="J47" i="4"/>
  <c r="J48" i="4"/>
  <c r="J50" i="4"/>
  <c r="J51" i="4"/>
  <c r="J52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4" i="4"/>
  <c r="I25" i="4"/>
  <c r="I26" i="4"/>
  <c r="I27" i="4"/>
  <c r="I28" i="4"/>
  <c r="I29" i="4"/>
  <c r="I30" i="4"/>
  <c r="I31" i="4"/>
  <c r="I32" i="4"/>
  <c r="I34" i="4"/>
  <c r="I35" i="4"/>
  <c r="I37" i="4"/>
  <c r="I38" i="4"/>
  <c r="I39" i="4"/>
  <c r="I40" i="4"/>
  <c r="I41" i="4"/>
  <c r="I42" i="4"/>
  <c r="I43" i="4"/>
  <c r="I45" i="4"/>
  <c r="I46" i="4"/>
  <c r="I47" i="4"/>
  <c r="I48" i="4"/>
  <c r="I50" i="4"/>
  <c r="I51" i="4"/>
  <c r="I5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4" i="4"/>
  <c r="H25" i="4"/>
  <c r="H26" i="4"/>
  <c r="H27" i="4"/>
  <c r="H28" i="4"/>
  <c r="H29" i="4"/>
  <c r="H30" i="4"/>
  <c r="H31" i="4"/>
  <c r="H32" i="4"/>
  <c r="H34" i="4"/>
  <c r="H35" i="4"/>
  <c r="H37" i="4"/>
  <c r="H38" i="4"/>
  <c r="H39" i="4"/>
  <c r="H40" i="4"/>
  <c r="H41" i="4"/>
  <c r="H42" i="4"/>
  <c r="H43" i="4"/>
  <c r="H45" i="4"/>
  <c r="H46" i="4"/>
  <c r="H47" i="4"/>
  <c r="H48" i="4"/>
  <c r="H50" i="4"/>
  <c r="H51" i="4"/>
  <c r="H52" i="4"/>
  <c r="H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51" i="4" s="1"/>
  <c r="A52" i="4" s="1"/>
  <c r="A53" i="4" s="1"/>
  <c r="L13" i="1" l="1"/>
  <c r="L9" i="1"/>
  <c r="L52" i="1"/>
  <c r="L10" i="1"/>
  <c r="L12" i="1"/>
  <c r="L18" i="1"/>
  <c r="L35" i="1"/>
  <c r="L11" i="1"/>
  <c r="L2" i="1"/>
  <c r="K23" i="4"/>
  <c r="K53" i="4"/>
  <c r="K20" i="4"/>
  <c r="K32" i="4"/>
  <c r="K19" i="4"/>
  <c r="K29" i="4"/>
  <c r="K42" i="4"/>
  <c r="K2" i="4"/>
  <c r="K15" i="4"/>
  <c r="K3" i="4"/>
  <c r="K41" i="4"/>
  <c r="K31" i="4"/>
  <c r="K43" i="4"/>
  <c r="K17" i="4"/>
  <c r="K5" i="4"/>
  <c r="K52" i="4"/>
  <c r="K39" i="4"/>
  <c r="K27" i="4"/>
  <c r="K30" i="4"/>
  <c r="K18" i="4"/>
  <c r="K26" i="4"/>
  <c r="K45" i="4"/>
  <c r="K40" i="4"/>
  <c r="K28" i="4"/>
  <c r="K16" i="4"/>
  <c r="K4" i="4"/>
  <c r="K14" i="4"/>
  <c r="K50" i="4"/>
  <c r="K25" i="4"/>
  <c r="K48" i="4"/>
  <c r="K24" i="4"/>
  <c r="K12" i="4"/>
  <c r="K51" i="4"/>
  <c r="K37" i="4"/>
  <c r="K13" i="4"/>
  <c r="K47" i="4"/>
  <c r="K35" i="4"/>
  <c r="K11" i="4"/>
  <c r="K38" i="4"/>
  <c r="K46" i="4"/>
  <c r="K34" i="4"/>
  <c r="K22" i="4"/>
  <c r="K10" i="4"/>
  <c r="K21" i="4"/>
  <c r="K9" i="4"/>
  <c r="K6" i="4"/>
  <c r="K8" i="4"/>
  <c r="K7" i="4"/>
  <c r="A3" i="1" l="1"/>
  <c r="G3" i="1" l="1"/>
  <c r="J3" i="1" s="1"/>
  <c r="L3" i="1" s="1"/>
  <c r="A4" i="1"/>
  <c r="A5" i="1" s="1"/>
  <c r="A6" i="1" l="1"/>
  <c r="G5" i="1"/>
  <c r="J5" i="1" s="1"/>
  <c r="L5" i="1" s="1"/>
  <c r="G4" i="1"/>
  <c r="J4" i="1" l="1"/>
  <c r="L4" i="1" s="1"/>
  <c r="G6" i="1"/>
  <c r="J6" i="1" s="1"/>
  <c r="L6" i="1" s="1"/>
  <c r="A11" i="1" l="1"/>
  <c r="A12" i="1" s="1"/>
  <c r="A13" i="1" s="1"/>
  <c r="A14" i="1" s="1"/>
  <c r="A15" i="1" l="1"/>
  <c r="G14" i="1"/>
  <c r="J14" i="1" s="1"/>
  <c r="L14" i="1" s="1"/>
  <c r="L63" i="1"/>
  <c r="A16" i="1" l="1"/>
  <c r="G15" i="1"/>
  <c r="J15" i="1" s="1"/>
  <c r="L15" i="1" s="1"/>
  <c r="A17" i="1" l="1"/>
  <c r="A18" i="1" s="1"/>
  <c r="A19" i="1" s="1"/>
  <c r="A20" i="1" s="1"/>
  <c r="A21" i="1" s="1"/>
  <c r="G16" i="1"/>
  <c r="J16" i="1" s="1"/>
  <c r="L16" i="1" s="1"/>
  <c r="G17" i="1" l="1"/>
  <c r="J17" i="1" s="1"/>
  <c r="L17" i="1" s="1"/>
  <c r="L64" i="1" l="1"/>
  <c r="G19" i="1"/>
  <c r="J19" i="1" s="1"/>
  <c r="L19" i="1" s="1"/>
  <c r="G20" i="1" l="1"/>
  <c r="J20" i="1" s="1"/>
  <c r="L20" i="1" s="1"/>
  <c r="A22" i="1" l="1"/>
  <c r="G21" i="1"/>
  <c r="J21" i="1" s="1"/>
  <c r="L21" i="1" s="1"/>
  <c r="A23" i="1" l="1"/>
  <c r="G22" i="1"/>
  <c r="J22" i="1" s="1"/>
  <c r="L22" i="1" s="1"/>
  <c r="A24" i="1" l="1"/>
  <c r="G23" i="1"/>
  <c r="J23" i="1" s="1"/>
  <c r="L23" i="1" s="1"/>
  <c r="A25" i="1" l="1"/>
  <c r="G24" i="1"/>
  <c r="J24" i="1" s="1"/>
  <c r="L24" i="1" s="1"/>
  <c r="A26" i="1" l="1"/>
  <c r="G25" i="1"/>
  <c r="J25" i="1" s="1"/>
  <c r="L25" i="1" s="1"/>
  <c r="A27" i="1" l="1"/>
  <c r="G26" i="1"/>
  <c r="J26" i="1" s="1"/>
  <c r="L26" i="1" s="1"/>
  <c r="A28" i="1" l="1"/>
  <c r="G27" i="1"/>
  <c r="J27" i="1" s="1"/>
  <c r="L27" i="1" s="1"/>
  <c r="A29" i="1" l="1"/>
  <c r="G28" i="1"/>
  <c r="J28" i="1" s="1"/>
  <c r="L28" i="1" s="1"/>
  <c r="A30" i="1" l="1"/>
  <c r="G29" i="1"/>
  <c r="J29" i="1" s="1"/>
  <c r="L29" i="1" s="1"/>
  <c r="A31" i="1" l="1"/>
  <c r="G30" i="1"/>
  <c r="J30" i="1" s="1"/>
  <c r="L30" i="1" s="1"/>
  <c r="A32" i="1" l="1"/>
  <c r="G31" i="1"/>
  <c r="J31" i="1" s="1"/>
  <c r="L31" i="1" s="1"/>
  <c r="A33" i="1" l="1"/>
  <c r="G32" i="1"/>
  <c r="J32" i="1" s="1"/>
  <c r="L32" i="1" s="1"/>
  <c r="A34" i="1" l="1"/>
  <c r="G33" i="1"/>
  <c r="J33" i="1" s="1"/>
  <c r="L33" i="1" s="1"/>
  <c r="A35" i="1" l="1"/>
  <c r="A36" i="1" s="1"/>
  <c r="G34" i="1"/>
  <c r="J34" i="1" s="1"/>
  <c r="L34" i="1" s="1"/>
  <c r="A37" i="1" l="1"/>
  <c r="G36" i="1"/>
  <c r="J36" i="1" s="1"/>
  <c r="L36" i="1" s="1"/>
  <c r="L65" i="1"/>
  <c r="A38" i="1" l="1"/>
  <c r="G37" i="1"/>
  <c r="J37" i="1" s="1"/>
  <c r="L37" i="1" s="1"/>
  <c r="A39" i="1" l="1"/>
  <c r="G38" i="1"/>
  <c r="J38" i="1" s="1"/>
  <c r="L38" i="1" s="1"/>
  <c r="A40" i="1" l="1"/>
  <c r="G39" i="1"/>
  <c r="J39" i="1" s="1"/>
  <c r="L39" i="1" s="1"/>
  <c r="A41" i="1" l="1"/>
  <c r="G40" i="1"/>
  <c r="J40" i="1" s="1"/>
  <c r="L40" i="1" s="1"/>
  <c r="A42" i="1" l="1"/>
  <c r="G41" i="1"/>
  <c r="J41" i="1" s="1"/>
  <c r="L41" i="1" s="1"/>
  <c r="A43" i="1" l="1"/>
  <c r="G42" i="1"/>
  <c r="J42" i="1" l="1"/>
  <c r="L42" i="1" s="1"/>
  <c r="A44" i="1"/>
  <c r="G43" i="1"/>
  <c r="J43" i="1" s="1"/>
  <c r="L43" i="1" s="1"/>
  <c r="A45" i="1" l="1"/>
  <c r="G44" i="1"/>
  <c r="J44" i="1" s="1"/>
  <c r="L44" i="1" s="1"/>
  <c r="A46" i="1" l="1"/>
  <c r="G45" i="1"/>
  <c r="J45" i="1" s="1"/>
  <c r="L45" i="1" s="1"/>
  <c r="A47" i="1" l="1"/>
  <c r="G46" i="1"/>
  <c r="J46" i="1" s="1"/>
  <c r="L46" i="1" s="1"/>
  <c r="A48" i="1" l="1"/>
  <c r="G47" i="1"/>
  <c r="J47" i="1" s="1"/>
  <c r="L47" i="1" s="1"/>
  <c r="A49" i="1" l="1"/>
  <c r="G48" i="1"/>
  <c r="J48" i="1" s="1"/>
  <c r="L48" i="1" s="1"/>
  <c r="A50" i="1" l="1"/>
  <c r="G49" i="1"/>
  <c r="J49" i="1" s="1"/>
  <c r="L49" i="1" s="1"/>
  <c r="A51" i="1" l="1"/>
  <c r="G50" i="1"/>
  <c r="J50" i="1" s="1"/>
  <c r="L50" i="1" s="1"/>
  <c r="A52" i="1" l="1"/>
  <c r="A53" i="1" s="1"/>
  <c r="G51" i="1"/>
  <c r="J51" i="1" s="1"/>
  <c r="L51" i="1" s="1"/>
  <c r="A54" i="1" l="1"/>
  <c r="G53" i="1"/>
  <c r="J53" i="1" s="1"/>
  <c r="L53" i="1" s="1"/>
  <c r="L66" i="1"/>
  <c r="A55" i="1" l="1"/>
  <c r="L68" i="1" s="1"/>
  <c r="G54" i="1"/>
  <c r="J54" i="1" s="1"/>
  <c r="L54" i="1" s="1"/>
  <c r="L67" i="1"/>
  <c r="A56" i="1" l="1"/>
  <c r="L69" i="1" s="1"/>
  <c r="G55" i="1"/>
  <c r="J55" i="1" s="1"/>
  <c r="L55" i="1" s="1"/>
  <c r="A57" i="1" l="1"/>
  <c r="G56" i="1"/>
  <c r="J56" i="1" s="1"/>
  <c r="L56" i="1" s="1"/>
  <c r="A58" i="1" l="1"/>
  <c r="L70" i="1"/>
  <c r="G57" i="1"/>
  <c r="J57" i="1" s="1"/>
  <c r="L57" i="1" s="1"/>
  <c r="A59" i="1" l="1"/>
  <c r="L71" i="1"/>
  <c r="G58" i="1"/>
  <c r="J58" i="1" s="1"/>
  <c r="L58" i="1" s="1"/>
  <c r="A60" i="1" l="1"/>
  <c r="L72" i="1"/>
  <c r="G59" i="1"/>
  <c r="J59" i="1" s="1"/>
  <c r="L59" i="1" s="1"/>
  <c r="G60" i="1" l="1"/>
  <c r="J60" i="1" s="1"/>
  <c r="L60" i="1" s="1"/>
  <c r="A61" i="1"/>
  <c r="G64" i="1" s="1"/>
</calcChain>
</file>

<file path=xl/sharedStrings.xml><?xml version="1.0" encoding="utf-8"?>
<sst xmlns="http://schemas.openxmlformats.org/spreadsheetml/2006/main" count="445" uniqueCount="189">
  <si>
    <t>Index #</t>
  </si>
  <si>
    <t>Upper Channel</t>
  </si>
  <si>
    <t>Lower Channel</t>
  </si>
  <si>
    <t>Pedal Channel</t>
  </si>
  <si>
    <t>Kbd Driver</t>
  </si>
  <si>
    <t>Velocity Min</t>
  </si>
  <si>
    <t>Velocity Slope</t>
  </si>
  <si>
    <t>Pot Assign</t>
  </si>
  <si>
    <t>Button Assign</t>
  </si>
  <si>
    <t>Pot 1 CC</t>
  </si>
  <si>
    <t>Pot 2 CC</t>
  </si>
  <si>
    <t>Pot 3 CC</t>
  </si>
  <si>
    <t>Pot 4 CC</t>
  </si>
  <si>
    <t>Upper Base</t>
  </si>
  <si>
    <t>Lower Base</t>
  </si>
  <si>
    <t>Pedal Base</t>
  </si>
  <si>
    <t>enum {</t>
  </si>
  <si>
    <t>};</t>
  </si>
  <si>
    <t>MenuLink</t>
  </si>
  <si>
    <t>Min</t>
  </si>
  <si>
    <t>Max</t>
  </si>
  <si>
    <t>Default</t>
  </si>
  <si>
    <t>drv_custom</t>
  </si>
  <si>
    <t>Menu Entry String (max. 15 Chars)</t>
  </si>
  <si>
    <t>Velocity MaxAdj</t>
  </si>
  <si>
    <t>Keyboard</t>
  </si>
  <si>
    <t>Btn 1 Mode</t>
  </si>
  <si>
    <t>Btn 2 Mode</t>
  </si>
  <si>
    <t>Btn 3 Mode</t>
  </si>
  <si>
    <t>Btn 4 Mode</t>
  </si>
  <si>
    <t>Btn 5 Mode</t>
  </si>
  <si>
    <t>Btn 6 Mode</t>
  </si>
  <si>
    <t>Btn 7 Mode</t>
  </si>
  <si>
    <t>Btn 8 Mode</t>
  </si>
  <si>
    <t>Btn 9 Mode</t>
  </si>
  <si>
    <t>Btn 10 Mode</t>
  </si>
  <si>
    <t>Btn 11 Mode</t>
  </si>
  <si>
    <t>Btn 12 Mode</t>
  </si>
  <si>
    <t>Btn 13 Mode</t>
  </si>
  <si>
    <t>Btn 14 Mode</t>
  </si>
  <si>
    <t>Btn 15 Mode</t>
  </si>
  <si>
    <t>Btn 16 Mode</t>
  </si>
  <si>
    <t>Button Mode</t>
  </si>
  <si>
    <t>Btn 1 CC/Prg</t>
  </si>
  <si>
    <t>Btn 2 CC/Prg</t>
  </si>
  <si>
    <t>Btn 3 CC/Prg</t>
  </si>
  <si>
    <t>Btn 4 CC/Prg</t>
  </si>
  <si>
    <t>Btn 5 CC/Prg</t>
  </si>
  <si>
    <t>Btn 6 CC/Prg</t>
  </si>
  <si>
    <t>Btn 7 CC/Prg</t>
  </si>
  <si>
    <t>Btn 8 CC/Prg</t>
  </si>
  <si>
    <t>Btn 9 CC/Prg</t>
  </si>
  <si>
    <t>Btn 10 CC/Prg</t>
  </si>
  <si>
    <t>Btn 11 CC/Prg</t>
  </si>
  <si>
    <t>Btn 12 CC/Prg</t>
  </si>
  <si>
    <t>Btn 13 CC/Prg</t>
  </si>
  <si>
    <t>Btn 14 CC/Prg</t>
  </si>
  <si>
    <t>Btn 15 CC/Prg</t>
  </si>
  <si>
    <t>Btn 16 CC/Prg</t>
  </si>
  <si>
    <t>Pitchwheel Pot</t>
  </si>
  <si>
    <t>Master Volume</t>
  </si>
  <si>
    <t>Amp Gain</t>
  </si>
  <si>
    <t>Upper DBs</t>
  </si>
  <si>
    <t>Lower DBs</t>
  </si>
  <si>
    <t>Pedal DBs</t>
  </si>
  <si>
    <t>Upper DB 16</t>
  </si>
  <si>
    <t>Upper DB 5 1/3</t>
  </si>
  <si>
    <t>Upper DB 8</t>
  </si>
  <si>
    <t>Upper DB 4</t>
  </si>
  <si>
    <t>Upper DB 2 2/3</t>
  </si>
  <si>
    <t>Upper DB 2</t>
  </si>
  <si>
    <t>Upper DB 1 3/5</t>
  </si>
  <si>
    <t>Upper DB 1 1/3</t>
  </si>
  <si>
    <t>Upper DB 1</t>
  </si>
  <si>
    <t>Lower DB 16</t>
  </si>
  <si>
    <t>Lower DB 5 1/3</t>
  </si>
  <si>
    <t>Lower DB 8</t>
  </si>
  <si>
    <t>Lower DB 4</t>
  </si>
  <si>
    <t>Lower DB 2 2/3</t>
  </si>
  <si>
    <t>Lower DB 2</t>
  </si>
  <si>
    <t>Lower DB 1 3/5</t>
  </si>
  <si>
    <t>Lower DB 1 1/3</t>
  </si>
  <si>
    <t>Lower DB 1</t>
  </si>
  <si>
    <t>Pedal DB 16</t>
  </si>
  <si>
    <t>Pedal DB 8</t>
  </si>
  <si>
    <t>End</t>
  </si>
  <si>
    <t>Upper DB</t>
  </si>
  <si>
    <t>Lower DB</t>
  </si>
  <si>
    <t>Pedal DB</t>
  </si>
  <si>
    <t>Load SD Scan</t>
  </si>
  <si>
    <t>Flash SD Scan</t>
  </si>
  <si>
    <t>Flash FPGA</t>
  </si>
  <si>
    <t>Reload FPGA</t>
  </si>
  <si>
    <t>Test</t>
  </si>
  <si>
    <t>Flash Other</t>
  </si>
  <si>
    <t>SD Flash Tools</t>
  </si>
  <si>
    <t>NULL</t>
  </si>
  <si>
    <t>Zuweisung Action-Routine (ohne Parameterübergabe!)</t>
  </si>
  <si>
    <t>fpga_send_upper_db</t>
  </si>
  <si>
    <t>fpga_send_lower_db</t>
  </si>
  <si>
    <t>loadScanDriver</t>
  </si>
  <si>
    <t>flashScanDriver</t>
  </si>
  <si>
    <t>flashFPGA</t>
  </si>
  <si>
    <t>flashOther</t>
  </si>
  <si>
    <t>organReset</t>
  </si>
  <si>
    <t>SD Card Info</t>
  </si>
  <si>
    <t>sdCardInfo</t>
  </si>
  <si>
    <t>Organ Model</t>
  </si>
  <si>
    <t>menuOrganModel</t>
  </si>
  <si>
    <t>Speaker Model</t>
  </si>
  <si>
    <t>menuSpeakerModel</t>
  </si>
  <si>
    <t>m_kbd_driver</t>
  </si>
  <si>
    <t>m_main_end</t>
  </si>
  <si>
    <t>Zuweisung Edit-Variable</t>
  </si>
  <si>
    <t>Swell Pedal</t>
  </si>
  <si>
    <t>preamp.masterVolume</t>
  </si>
  <si>
    <t>tabs.organModel</t>
  </si>
  <si>
    <t>drawbars.upper[0]</t>
  </si>
  <si>
    <t>tabs.speakerModel</t>
  </si>
  <si>
    <t>drawbars.upper[1]</t>
  </si>
  <si>
    <t>drawbars.upper[2]</t>
  </si>
  <si>
    <t>drawbars.upper[3]</t>
  </si>
  <si>
    <t>drawbars.upper[4]</t>
  </si>
  <si>
    <t>drawbars.upper[5]</t>
  </si>
  <si>
    <t>drawbars.upper[6]</t>
  </si>
  <si>
    <t>drawbars.upper[7]</t>
  </si>
  <si>
    <t>drawbars.upper[8]</t>
  </si>
  <si>
    <t>drawbars.lower[0]</t>
  </si>
  <si>
    <t>drawbars.lower[1]</t>
  </si>
  <si>
    <t>drawbars.lower[2]</t>
  </si>
  <si>
    <t>drawbars.lower[3]</t>
  </si>
  <si>
    <t>drawbars.lower[4]</t>
  </si>
  <si>
    <t>drawbars.lower[5]</t>
  </si>
  <si>
    <t>drawbars.lower[6]</t>
  </si>
  <si>
    <t>drawbars.lower[7]</t>
  </si>
  <si>
    <t>drawbars.lower[8]</t>
  </si>
  <si>
    <t>drawbars.pedal[0]</t>
  </si>
  <si>
    <t>drawbars.pedal[1]</t>
  </si>
  <si>
    <t>boardInfo.scan_driverIdx</t>
  </si>
  <si>
    <t>organModel.fatarVelocityFac</t>
  </si>
  <si>
    <t>midiSettings.channel</t>
  </si>
  <si>
    <t>Variablen-Pointer</t>
  </si>
  <si>
    <t>Action-Pointer</t>
  </si>
  <si>
    <t xml:space="preserve">const menuEntryType MenuItems[MENU_ITEMCOUNT] PROGMEM = { </t>
  </si>
  <si>
    <t>Menu-Text</t>
  </si>
  <si>
    <t>sendAmpVolume</t>
  </si>
  <si>
    <t>preamp.ampGain</t>
  </si>
  <si>
    <t>sendOrganVolumes</t>
  </si>
  <si>
    <t>m_upper_db</t>
  </si>
  <si>
    <t>m_lower_db</t>
  </si>
  <si>
    <t>m_pedal_db</t>
  </si>
  <si>
    <t>m_sd_card</t>
  </si>
  <si>
    <t>m_swell</t>
  </si>
  <si>
    <t>m_volume</t>
  </si>
  <si>
    <t>m_gain</t>
  </si>
  <si>
    <t>m_organ</t>
  </si>
  <si>
    <t>m_speaker</t>
  </si>
  <si>
    <t>m_pitchwheel</t>
  </si>
  <si>
    <t>}; // alle vorhandenen Menü-Links</t>
  </si>
  <si>
    <t>&lt;ENTER&gt; angezeigt, Action wird nach Bestätigung ausgeführt</t>
  </si>
  <si>
    <t>Enter oder Exit Submenu</t>
  </si>
  <si>
    <t>m_menuName</t>
  </si>
  <si>
    <t>Display-Text</t>
  </si>
  <si>
    <t>lfdNr.</t>
  </si>
  <si>
    <t>MIDI Channel</t>
  </si>
  <si>
    <t>preamp.swell127</t>
  </si>
  <si>
    <t>sendMIDIswell</t>
  </si>
  <si>
    <t>m_upper_ch</t>
  </si>
  <si>
    <t>m_lower_ch</t>
  </si>
  <si>
    <t>m_pedal_ch</t>
  </si>
  <si>
    <t>m_pot_assign</t>
  </si>
  <si>
    <t>m_btn_assign</t>
  </si>
  <si>
    <t>m_btn_mode</t>
  </si>
  <si>
    <t>Pot CC</t>
  </si>
  <si>
    <t>Btn CC</t>
  </si>
  <si>
    <t>Btn Mode</t>
  </si>
  <si>
    <t>setKbdDriver</t>
  </si>
  <si>
    <t>const int8_t MenuDefaults[MENU_ITEMCOUNT] = {</t>
  </si>
  <si>
    <t>// Items with Action != NULL will need the editAction() to display lower LCD row value!</t>
  </si>
  <si>
    <t>vor der Tabelle!</t>
  </si>
  <si>
    <t>setDynSlope</t>
  </si>
  <si>
    <t>MenuLink/Group</t>
  </si>
  <si>
    <t>setBtnMode</t>
  </si>
  <si>
    <t>m_footsw1</t>
  </si>
  <si>
    <t>m_footsw2</t>
  </si>
  <si>
    <t>FootSw 1 CC</t>
  </si>
  <si>
    <t>FootSw 2 CC</t>
  </si>
  <si>
    <t>Swell CC</t>
  </si>
  <si>
    <t>Pitchwhl Pot#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</si>
</sst>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Lucida Console"/>
      <family val="3"/>
    </font>
    <font>
      <sz val="10"/>
      <name val="Lucida Console"/>
      <family val="3"/>
    </font>
    <font>
      <sz val="10"/>
      <color rgb="FFFF0000"/>
      <name val="Lucida Console"/>
      <family val="3"/>
    </font>
    <font>
      <sz val="10"/>
      <name val="Arial"/>
      <family val="2"/>
    </font>
    <font>
      <b/>
      <sz val="10"/>
      <color indexed="10"/>
      <name val="Lucida Console"/>
      <family val="3"/>
    </font>
    <font>
      <b/>
      <sz val="10"/>
      <name val="Arial Narrow"/>
      <family val="2"/>
    </font>
    <font>
      <sz val="11"/>
      <name val="Consolas"/>
      <family val="3"/>
    </font>
    <font>
      <sz val="11"/>
      <name val="Calibri"/>
      <family val="2"/>
      <scheme val="minor"/>
    </font>
    <font>
      <sz val="10"/>
      <color theme="1" tint="0.499984740745262"/>
      <name val="Lucida Console"/>
      <family val="3"/>
    </font>
    <font>
      <sz val="10"/>
      <color rgb="FF00B0F0"/>
      <name val="Lucida Console"/>
      <family val="3"/>
    </font>
    <font>
      <b/>
      <sz val="11"/>
      <color rgb="FF00B0F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Arial Narrow"/>
      <family val="2"/>
    </font>
    <font>
      <b/>
      <sz val="1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rgb="FFFF0000"/>
      <name val="Lucida Console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49" fontId="1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6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9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10" fillId="0" borderId="0" xfId="0" applyFont="1" applyAlignment="1">
      <alignment vertical="center"/>
    </xf>
    <xf numFmtId="49" fontId="9" fillId="6" borderId="0" xfId="0" applyNumberFormat="1" applyFont="1" applyFill="1" applyAlignment="1">
      <alignment horizontal="left" vertical="top" wrapText="1"/>
    </xf>
    <xf numFmtId="0" fontId="11" fillId="0" borderId="0" xfId="0" applyFont="1" applyAlignment="1">
      <alignment vertical="center"/>
    </xf>
    <xf numFmtId="0" fontId="5" fillId="11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19" fillId="9" borderId="0" xfId="0" applyNumberFormat="1" applyFont="1" applyFill="1" applyAlignment="1">
      <alignment horizontal="left" vertical="top" wrapText="1"/>
    </xf>
    <xf numFmtId="0" fontId="12" fillId="9" borderId="0" xfId="0" applyFont="1" applyFill="1" applyAlignment="1">
      <alignment horizontal="left"/>
    </xf>
    <xf numFmtId="0" fontId="18" fillId="9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7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7" fillId="2" borderId="0" xfId="0" applyFont="1" applyFill="1" applyAlignment="1">
      <alignment horizontal="left" vertical="top"/>
    </xf>
    <xf numFmtId="0" fontId="0" fillId="8" borderId="0" xfId="0" applyFill="1" applyAlignment="1">
      <alignment horizontal="left"/>
    </xf>
    <xf numFmtId="49" fontId="20" fillId="0" borderId="0" xfId="0" applyNumberFormat="1" applyFont="1" applyFill="1" applyAlignment="1">
      <alignment horizontal="left" vertical="top"/>
    </xf>
    <xf numFmtId="0" fontId="21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4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22" fillId="1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22" fillId="4" borderId="0" xfId="0" applyFont="1" applyFill="1" applyAlignment="1">
      <alignment horizontal="left"/>
    </xf>
    <xf numFmtId="0" fontId="22" fillId="5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22" fillId="7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24" fillId="0" borderId="0" xfId="0" quotePrefix="1" applyFont="1" applyAlignment="1">
      <alignment vertical="center"/>
    </xf>
    <xf numFmtId="0" fontId="20" fillId="0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Fill="1" applyAlignment="1">
      <alignment horizontal="left"/>
    </xf>
    <xf numFmtId="49" fontId="27" fillId="0" borderId="0" xfId="0" applyNumberFormat="1" applyFont="1" applyFill="1" applyAlignment="1">
      <alignment horizontal="left" vertical="top" wrapText="1"/>
    </xf>
    <xf numFmtId="0" fontId="28" fillId="0" borderId="0" xfId="0" applyFont="1" applyFill="1" applyAlignment="1">
      <alignment horizontal="left"/>
    </xf>
    <xf numFmtId="0" fontId="27" fillId="0" borderId="0" xfId="0" applyFont="1" applyFill="1" applyAlignment="1">
      <alignment horizontal="left"/>
    </xf>
    <xf numFmtId="0" fontId="10" fillId="4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left" vertical="top" wrapText="1"/>
    </xf>
    <xf numFmtId="0" fontId="0" fillId="11" borderId="0" xfId="0" applyFill="1" applyAlignment="1">
      <alignment horizontal="left"/>
    </xf>
    <xf numFmtId="0" fontId="29" fillId="0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zoomScaleNormal="100" workbookViewId="0">
      <selection activeCell="B6" sqref="B6"/>
    </sheetView>
  </sheetViews>
  <sheetFormatPr baseColWidth="10" defaultRowHeight="15" x14ac:dyDescent="0.25"/>
  <cols>
    <col min="1" max="1" width="8.140625" style="3" customWidth="1"/>
    <col min="2" max="2" width="20.140625" style="1" customWidth="1"/>
    <col min="3" max="3" width="14.7109375" style="20" customWidth="1"/>
    <col min="4" max="4" width="10.140625" style="20" customWidth="1"/>
    <col min="5" max="5" width="10.140625" style="1" customWidth="1"/>
    <col min="6" max="6" width="10.140625" style="20" customWidth="1"/>
    <col min="7" max="8" width="17.28515625" style="1" customWidth="1"/>
    <col min="9" max="9" width="19" style="6" customWidth="1"/>
    <col min="10" max="10" width="14.85546875" style="6" customWidth="1"/>
    <col min="11" max="11" width="14.85546875" style="1" customWidth="1"/>
    <col min="12" max="12" width="75.28515625" style="1" customWidth="1"/>
    <col min="13" max="13" width="36.42578125" style="6" customWidth="1"/>
    <col min="14" max="14" width="31.5703125" style="6" customWidth="1"/>
    <col min="15" max="16384" width="11.42578125" style="6"/>
  </cols>
  <sheetData>
    <row r="1" spans="1:14" s="5" customFormat="1" ht="45.75" customHeight="1" x14ac:dyDescent="0.25">
      <c r="A1" s="4" t="s">
        <v>0</v>
      </c>
      <c r="B1" s="4" t="s">
        <v>23</v>
      </c>
      <c r="C1" s="54" t="s">
        <v>181</v>
      </c>
      <c r="D1" s="54" t="s">
        <v>19</v>
      </c>
      <c r="E1" s="54" t="s">
        <v>20</v>
      </c>
      <c r="F1" s="54" t="s">
        <v>21</v>
      </c>
      <c r="G1" s="37" t="s">
        <v>113</v>
      </c>
      <c r="H1" s="37" t="s">
        <v>97</v>
      </c>
      <c r="I1" s="42" t="s">
        <v>144</v>
      </c>
      <c r="J1" s="42" t="s">
        <v>141</v>
      </c>
      <c r="K1" s="42" t="s">
        <v>142</v>
      </c>
      <c r="L1" s="24" t="s">
        <v>143</v>
      </c>
      <c r="M1" s="75" t="s">
        <v>177</v>
      </c>
      <c r="N1" s="52" t="s">
        <v>16</v>
      </c>
    </row>
    <row r="2" spans="1:14" x14ac:dyDescent="0.25">
      <c r="A2" s="2">
        <v>0</v>
      </c>
      <c r="B2" s="1" t="s">
        <v>1</v>
      </c>
      <c r="C2" s="17" t="s">
        <v>167</v>
      </c>
      <c r="D2" s="20">
        <v>1</v>
      </c>
      <c r="E2" s="20">
        <v>16</v>
      </c>
      <c r="F2" s="20">
        <v>1</v>
      </c>
      <c r="G2" s="29" t="str">
        <f>CONCATENATE("MenuValues[",A2,"]")</f>
        <v>MenuValues[0]</v>
      </c>
      <c r="H2" s="29" t="s">
        <v>96</v>
      </c>
      <c r="I2" s="43" t="str">
        <f>CONCATENATE("""",B2,""", ")</f>
        <v xml:space="preserve">"Upper Channel", </v>
      </c>
      <c r="J2" s="44" t="str">
        <f>IF(G2="NULL",CONCATENATE(G2,", "),CONCATENATE("&amp;",G2,", "))</f>
        <v xml:space="preserve">&amp;MenuValues[0], </v>
      </c>
      <c r="K2" s="44" t="str">
        <f>IF(H2="NULL",CONCATENATE(H2,", "),CONCATENATE("&amp;",H2,", "))</f>
        <v xml:space="preserve">NULL, </v>
      </c>
      <c r="L2" s="40" t="str">
        <f t="shared" ref="L2" si="0">CONCATENATE("  {",I2,C2,", ",J2,K2,D2,", ",E2,"},")</f>
        <v xml:space="preserve">  {"Upper Channel", m_upper_ch, &amp;MenuValues[0], NULL, 1, 16},</v>
      </c>
      <c r="M2" s="76" t="str">
        <f xml:space="preserve"> CONCATENATE("  ",F2,",  // ",B2)</f>
        <v xml:space="preserve">  1,  // Upper Channel</v>
      </c>
      <c r="N2" s="53" t="str">
        <f>CONCATENATE("  ",C2,",")</f>
        <v xml:space="preserve">  m_upper_ch,</v>
      </c>
    </row>
    <row r="3" spans="1:14" x14ac:dyDescent="0.25">
      <c r="A3" s="2">
        <f t="shared" ref="A3:A56" si="1">A2+1</f>
        <v>1</v>
      </c>
      <c r="B3" s="1" t="s">
        <v>2</v>
      </c>
      <c r="C3" s="20" t="s">
        <v>168</v>
      </c>
      <c r="D3" s="20">
        <v>1</v>
      </c>
      <c r="E3" s="20">
        <v>16</v>
      </c>
      <c r="F3" s="20">
        <v>2</v>
      </c>
      <c r="G3" s="29" t="str">
        <f>CONCATENATE("MenuValues[",A3,"]")</f>
        <v>MenuValues[1]</v>
      </c>
      <c r="H3" s="29" t="s">
        <v>96</v>
      </c>
      <c r="I3" s="43" t="str">
        <f t="shared" ref="I3:I56" si="2">CONCATENATE("""",B3,""", ")</f>
        <v xml:space="preserve">"Lower Channel", </v>
      </c>
      <c r="J3" s="44" t="str">
        <f t="shared" ref="J3:J56" si="3">IF(G3="NULL",CONCATENATE(G3,", "),CONCATENATE("&amp;",G3,", "))</f>
        <v xml:space="preserve">&amp;MenuValues[1], </v>
      </c>
      <c r="K3" s="44" t="str">
        <f t="shared" ref="K3:K56" si="4">IF(H3="NULL",CONCATENATE(H3,", "),CONCATENATE("&amp;",H3,", "))</f>
        <v xml:space="preserve">NULL, </v>
      </c>
      <c r="L3" s="40" t="str">
        <f t="shared" ref="L3:L36" si="5">CONCATENATE("  {",I3,C3,", ",J3,K3,D3,", ",E3,"},")</f>
        <v xml:space="preserve">  {"Lower Channel", m_lower_ch, &amp;MenuValues[1], NULL, 1, 16},</v>
      </c>
      <c r="M3" s="76" t="str">
        <f t="shared" ref="M3:M56" si="6" xml:space="preserve"> CONCATENATE("  ",F3,",  // ",B3)</f>
        <v xml:space="preserve">  2,  // Lower Channel</v>
      </c>
      <c r="N3" s="53" t="str">
        <f t="shared" ref="N3:N5" si="7">CONCATENATE("  ",C3,",")</f>
        <v xml:space="preserve">  m_lower_ch,</v>
      </c>
    </row>
    <row r="4" spans="1:14" x14ac:dyDescent="0.25">
      <c r="A4" s="21">
        <f t="shared" si="1"/>
        <v>2</v>
      </c>
      <c r="B4" s="1" t="s">
        <v>3</v>
      </c>
      <c r="C4" s="20" t="s">
        <v>169</v>
      </c>
      <c r="D4" s="20">
        <v>1</v>
      </c>
      <c r="E4" s="20">
        <v>16</v>
      </c>
      <c r="F4" s="20">
        <v>3</v>
      </c>
      <c r="G4" s="29" t="str">
        <f>CONCATENATE("MenuValues[",A4,"]")</f>
        <v>MenuValues[2]</v>
      </c>
      <c r="H4" s="29" t="s">
        <v>96</v>
      </c>
      <c r="I4" s="43" t="str">
        <f t="shared" si="2"/>
        <v xml:space="preserve">"Pedal Channel", </v>
      </c>
      <c r="J4" s="44" t="str">
        <f t="shared" si="3"/>
        <v xml:space="preserve">&amp;MenuValues[2], </v>
      </c>
      <c r="K4" s="44" t="str">
        <f t="shared" si="4"/>
        <v xml:space="preserve">NULL, </v>
      </c>
      <c r="L4" s="40" t="str">
        <f t="shared" si="5"/>
        <v xml:space="preserve">  {"Pedal Channel", m_pedal_ch, &amp;MenuValues[2], NULL, 1, 16},</v>
      </c>
      <c r="M4" s="76" t="str">
        <f t="shared" si="6"/>
        <v xml:space="preserve">  3,  // Pedal Channel</v>
      </c>
      <c r="N4" s="53" t="str">
        <f t="shared" si="7"/>
        <v xml:space="preserve">  m_pedal_ch,</v>
      </c>
    </row>
    <row r="5" spans="1:14" s="25" customFormat="1" x14ac:dyDescent="0.25">
      <c r="A5" s="21">
        <f t="shared" si="1"/>
        <v>3</v>
      </c>
      <c r="B5" s="20" t="s">
        <v>187</v>
      </c>
      <c r="C5" s="20" t="s">
        <v>152</v>
      </c>
      <c r="D5" s="20">
        <v>-1</v>
      </c>
      <c r="E5" s="20">
        <v>127</v>
      </c>
      <c r="F5" s="20">
        <v>-1</v>
      </c>
      <c r="G5" s="29" t="str">
        <f>CONCATENATE("MenuValues[",A5,"]")</f>
        <v>MenuValues[3]</v>
      </c>
      <c r="H5" s="29" t="s">
        <v>96</v>
      </c>
      <c r="I5" s="43" t="str">
        <f t="shared" ref="I5" si="8">CONCATENATE("""",B5,""", ")</f>
        <v xml:space="preserve">"Swell CC", </v>
      </c>
      <c r="J5" s="44" t="str">
        <f t="shared" ref="J5" si="9">IF(G5="NULL",CONCATENATE(G5,", "),CONCATENATE("&amp;",G5,", "))</f>
        <v xml:space="preserve">&amp;MenuValues[3], </v>
      </c>
      <c r="K5" s="44" t="str">
        <f t="shared" ref="K5" si="10">IF(H5="NULL",CONCATENATE(H5,", "),CONCATENATE("&amp;",H5,", "))</f>
        <v xml:space="preserve">NULL, </v>
      </c>
      <c r="L5" s="40" t="str">
        <f t="shared" ref="L5" si="11">CONCATENATE("  {",I5,C5,", ",J5,K5,D5,", ",E5,"},")</f>
        <v xml:space="preserve">  {"Swell CC", m_swell, &amp;MenuValues[3], NULL, -1, 127},</v>
      </c>
      <c r="M5" s="76" t="str">
        <f t="shared" ref="M5" si="12" xml:space="preserve"> CONCATENATE("  ",F5,",  // ",B5)</f>
        <v xml:space="preserve">  -1,  // Swell CC</v>
      </c>
      <c r="N5" s="53" t="str">
        <f t="shared" si="7"/>
        <v xml:space="preserve">  m_swell,</v>
      </c>
    </row>
    <row r="6" spans="1:14" x14ac:dyDescent="0.25">
      <c r="A6" s="21">
        <f t="shared" si="1"/>
        <v>4</v>
      </c>
      <c r="B6" s="1" t="s">
        <v>188</v>
      </c>
      <c r="C6" s="20" t="s">
        <v>157</v>
      </c>
      <c r="D6" s="20">
        <v>-1</v>
      </c>
      <c r="E6" s="1">
        <v>15</v>
      </c>
      <c r="F6" s="20">
        <v>-1</v>
      </c>
      <c r="G6" s="29" t="str">
        <f>CONCATENATE("MenuValues[",A6,"]")</f>
        <v>MenuValues[4]</v>
      </c>
      <c r="H6" s="29" t="s">
        <v>96</v>
      </c>
      <c r="I6" s="43" t="str">
        <f t="shared" si="2"/>
        <v xml:space="preserve">"Pitchwhl Pot#", </v>
      </c>
      <c r="J6" s="44" t="str">
        <f t="shared" si="3"/>
        <v xml:space="preserve">&amp;MenuValues[4], </v>
      </c>
      <c r="K6" s="44" t="str">
        <f t="shared" si="4"/>
        <v xml:space="preserve">NULL, </v>
      </c>
      <c r="L6" s="40" t="str">
        <f t="shared" si="5"/>
        <v xml:space="preserve">  {"Pitchwhl Pot#", m_pitchwheel, &amp;MenuValues[4], NULL, -1, 15},</v>
      </c>
      <c r="M6" s="76" t="str">
        <f t="shared" si="6"/>
        <v xml:space="preserve">  -1,  // Pitchwhl Pot#</v>
      </c>
      <c r="N6" s="53" t="str">
        <f t="shared" ref="N6:N13" si="13">CONCATENATE("  ",C6,",")</f>
        <v xml:space="preserve">  m_pitchwheel,</v>
      </c>
    </row>
    <row r="7" spans="1:14" s="25" customFormat="1" x14ac:dyDescent="0.25">
      <c r="A7" s="21">
        <f t="shared" si="1"/>
        <v>5</v>
      </c>
      <c r="B7" s="20" t="s">
        <v>185</v>
      </c>
      <c r="C7" s="20" t="s">
        <v>183</v>
      </c>
      <c r="D7" s="20">
        <v>-1</v>
      </c>
      <c r="E7" s="20">
        <v>127</v>
      </c>
      <c r="F7" s="20">
        <v>-1</v>
      </c>
      <c r="G7" s="29" t="str">
        <f t="shared" ref="G7:G8" si="14">CONCATENATE("MenuValues[",A7,"]")</f>
        <v>MenuValues[5]</v>
      </c>
      <c r="H7" s="29" t="s">
        <v>96</v>
      </c>
      <c r="I7" s="43" t="str">
        <f t="shared" ref="I7:I8" si="15">CONCATENATE("""",B7,""", ")</f>
        <v xml:space="preserve">"FootSw 1 CC", </v>
      </c>
      <c r="J7" s="44" t="str">
        <f t="shared" ref="J7:J8" si="16">IF(G7="NULL",CONCATENATE(G7,", "),CONCATENATE("&amp;",G7,", "))</f>
        <v xml:space="preserve">&amp;MenuValues[5], </v>
      </c>
      <c r="K7" s="44" t="str">
        <f t="shared" ref="K7:K8" si="17">IF(H7="NULL",CONCATENATE(H7,", "),CONCATENATE("&amp;",H7,", "))</f>
        <v xml:space="preserve">NULL, </v>
      </c>
      <c r="L7" s="40" t="str">
        <f t="shared" ref="L7:L8" si="18">CONCATENATE("  {",I7,C7,", ",J7,K7,D7,", ",E7,"},")</f>
        <v xml:space="preserve">  {"FootSw 1 CC", m_footsw1, &amp;MenuValues[5], NULL, -1, 127},</v>
      </c>
      <c r="M7" s="76" t="str">
        <f t="shared" ref="M7:M8" si="19" xml:space="preserve"> CONCATENATE("  ",F7,",  // ",B7)</f>
        <v xml:space="preserve">  -1,  // FootSw 1 CC</v>
      </c>
      <c r="N7" s="53" t="str">
        <f t="shared" ref="N7:N8" si="20">CONCATENATE("  ",C7,",")</f>
        <v xml:space="preserve">  m_footsw1,</v>
      </c>
    </row>
    <row r="8" spans="1:14" s="25" customFormat="1" x14ac:dyDescent="0.25">
      <c r="A8" s="21">
        <f t="shared" si="1"/>
        <v>6</v>
      </c>
      <c r="B8" s="20" t="s">
        <v>186</v>
      </c>
      <c r="C8" s="20" t="s">
        <v>184</v>
      </c>
      <c r="D8" s="20">
        <v>-1</v>
      </c>
      <c r="E8" s="20">
        <v>127</v>
      </c>
      <c r="F8" s="20">
        <v>-1</v>
      </c>
      <c r="G8" s="29" t="str">
        <f t="shared" si="14"/>
        <v>MenuValues[6]</v>
      </c>
      <c r="H8" s="29" t="s">
        <v>96</v>
      </c>
      <c r="I8" s="43" t="str">
        <f t="shared" si="15"/>
        <v xml:space="preserve">"FootSw 2 CC", </v>
      </c>
      <c r="J8" s="44" t="str">
        <f t="shared" si="16"/>
        <v xml:space="preserve">&amp;MenuValues[6], </v>
      </c>
      <c r="K8" s="44" t="str">
        <f t="shared" si="17"/>
        <v xml:space="preserve">NULL, </v>
      </c>
      <c r="L8" s="40" t="str">
        <f t="shared" si="18"/>
        <v xml:space="preserve">  {"FootSw 2 CC", m_footsw2, &amp;MenuValues[6], NULL, -1, 127},</v>
      </c>
      <c r="M8" s="76" t="str">
        <f t="shared" si="19"/>
        <v xml:space="preserve">  -1,  // FootSw 2 CC</v>
      </c>
      <c r="N8" s="53" t="str">
        <f t="shared" si="20"/>
        <v xml:space="preserve">  m_footsw2,</v>
      </c>
    </row>
    <row r="9" spans="1:14" x14ac:dyDescent="0.25">
      <c r="A9" s="21">
        <f t="shared" si="1"/>
        <v>7</v>
      </c>
      <c r="B9" s="1" t="s">
        <v>25</v>
      </c>
      <c r="C9" s="20" t="s">
        <v>111</v>
      </c>
      <c r="D9" s="20">
        <v>-1</v>
      </c>
      <c r="E9" s="20">
        <v>-1</v>
      </c>
      <c r="F9" s="20">
        <v>-1</v>
      </c>
      <c r="G9" s="29" t="s">
        <v>96</v>
      </c>
      <c r="H9" s="29" t="s">
        <v>96</v>
      </c>
      <c r="I9" s="43" t="str">
        <f t="shared" si="2"/>
        <v xml:space="preserve">"Keyboard", </v>
      </c>
      <c r="J9" s="44" t="str">
        <f t="shared" si="3"/>
        <v xml:space="preserve">NULL, </v>
      </c>
      <c r="K9" s="44" t="str">
        <f t="shared" si="4"/>
        <v xml:space="preserve">NULL, </v>
      </c>
      <c r="L9" s="40" t="str">
        <f t="shared" si="5"/>
        <v xml:space="preserve">  {"Keyboard", m_kbd_driver, NULL, NULL, -1, -1},</v>
      </c>
      <c r="M9" s="76" t="str">
        <f t="shared" si="6"/>
        <v xml:space="preserve">  -1,  // Keyboard</v>
      </c>
      <c r="N9" s="53" t="str">
        <f t="shared" si="13"/>
        <v xml:space="preserve">  m_kbd_driver,</v>
      </c>
    </row>
    <row r="10" spans="1:14" s="8" customFormat="1" x14ac:dyDescent="0.25">
      <c r="A10" s="21">
        <f t="shared" si="1"/>
        <v>8</v>
      </c>
      <c r="B10" s="1" t="s">
        <v>7</v>
      </c>
      <c r="C10" s="20" t="s">
        <v>170</v>
      </c>
      <c r="D10" s="20">
        <v>-1</v>
      </c>
      <c r="E10" s="20">
        <v>-1</v>
      </c>
      <c r="F10" s="20">
        <v>-1</v>
      </c>
      <c r="G10" s="29" t="s">
        <v>96</v>
      </c>
      <c r="H10" s="29" t="s">
        <v>96</v>
      </c>
      <c r="I10" s="43" t="str">
        <f t="shared" si="2"/>
        <v xml:space="preserve">"Pot Assign", </v>
      </c>
      <c r="J10" s="44" t="str">
        <f t="shared" si="3"/>
        <v xml:space="preserve">NULL, </v>
      </c>
      <c r="K10" s="44" t="str">
        <f t="shared" si="4"/>
        <v xml:space="preserve">NULL, </v>
      </c>
      <c r="L10" s="40" t="str">
        <f t="shared" si="5"/>
        <v xml:space="preserve">  {"Pot Assign", m_pot_assign, NULL, NULL, -1, -1},</v>
      </c>
      <c r="M10" s="76" t="str">
        <f t="shared" si="6"/>
        <v xml:space="preserve">  -1,  // Pot Assign</v>
      </c>
      <c r="N10" s="53" t="str">
        <f t="shared" si="13"/>
        <v xml:space="preserve">  m_pot_assign,</v>
      </c>
    </row>
    <row r="11" spans="1:14" s="8" customFormat="1" x14ac:dyDescent="0.25">
      <c r="A11" s="21">
        <f t="shared" si="1"/>
        <v>9</v>
      </c>
      <c r="B11" s="1" t="s">
        <v>8</v>
      </c>
      <c r="C11" s="20" t="s">
        <v>171</v>
      </c>
      <c r="D11" s="20">
        <v>-1</v>
      </c>
      <c r="E11" s="20">
        <v>-1</v>
      </c>
      <c r="F11" s="20">
        <v>-1</v>
      </c>
      <c r="G11" s="29" t="s">
        <v>96</v>
      </c>
      <c r="H11" s="29" t="s">
        <v>96</v>
      </c>
      <c r="I11" s="43" t="str">
        <f t="shared" si="2"/>
        <v xml:space="preserve">"Button Assign", </v>
      </c>
      <c r="J11" s="44" t="str">
        <f t="shared" si="3"/>
        <v xml:space="preserve">NULL, </v>
      </c>
      <c r="K11" s="44" t="str">
        <f t="shared" si="4"/>
        <v xml:space="preserve">NULL, </v>
      </c>
      <c r="L11" s="40" t="str">
        <f t="shared" si="5"/>
        <v xml:space="preserve">  {"Button Assign", m_btn_assign, NULL, NULL, -1, -1},</v>
      </c>
      <c r="M11" s="76" t="str">
        <f t="shared" si="6"/>
        <v xml:space="preserve">  -1,  // Button Assign</v>
      </c>
      <c r="N11" s="53" t="str">
        <f t="shared" si="13"/>
        <v xml:space="preserve">  m_btn_assign,</v>
      </c>
    </row>
    <row r="12" spans="1:14" s="8" customFormat="1" x14ac:dyDescent="0.25">
      <c r="A12" s="21">
        <f t="shared" si="1"/>
        <v>10</v>
      </c>
      <c r="B12" s="1" t="s">
        <v>42</v>
      </c>
      <c r="C12" s="20" t="s">
        <v>172</v>
      </c>
      <c r="D12" s="20">
        <v>-1</v>
      </c>
      <c r="E12" s="20">
        <v>-1</v>
      </c>
      <c r="F12" s="20">
        <v>-1</v>
      </c>
      <c r="G12" s="29" t="s">
        <v>96</v>
      </c>
      <c r="H12" s="29" t="s">
        <v>96</v>
      </c>
      <c r="I12" s="43" t="str">
        <f t="shared" si="2"/>
        <v xml:space="preserve">"Button Mode", </v>
      </c>
      <c r="J12" s="44" t="str">
        <f t="shared" si="3"/>
        <v xml:space="preserve">NULL, </v>
      </c>
      <c r="K12" s="44" t="str">
        <f t="shared" si="4"/>
        <v xml:space="preserve">NULL, </v>
      </c>
      <c r="L12" s="40" t="str">
        <f t="shared" si="5"/>
        <v xml:space="preserve">  {"Button Mode", m_btn_mode, NULL, NULL, -1, -1},</v>
      </c>
      <c r="M12" s="76" t="str">
        <f t="shared" si="6"/>
        <v xml:space="preserve">  -1,  // Button Mode</v>
      </c>
      <c r="N12" s="53" t="str">
        <f t="shared" si="13"/>
        <v xml:space="preserve">  m_btn_mode,</v>
      </c>
    </row>
    <row r="13" spans="1:14" s="8" customFormat="1" x14ac:dyDescent="0.25">
      <c r="A13" s="21">
        <f t="shared" si="1"/>
        <v>11</v>
      </c>
      <c r="B13" s="1" t="s">
        <v>85</v>
      </c>
      <c r="C13" s="20" t="s">
        <v>112</v>
      </c>
      <c r="D13" s="20">
        <v>-1</v>
      </c>
      <c r="E13" s="1">
        <v>-1</v>
      </c>
      <c r="F13" s="20">
        <v>-1</v>
      </c>
      <c r="G13" s="29" t="s">
        <v>96</v>
      </c>
      <c r="H13" s="29" t="s">
        <v>96</v>
      </c>
      <c r="I13" s="43" t="str">
        <f t="shared" si="2"/>
        <v xml:space="preserve">"End", </v>
      </c>
      <c r="J13" s="44" t="str">
        <f t="shared" si="3"/>
        <v xml:space="preserve">NULL, </v>
      </c>
      <c r="K13" s="44" t="str">
        <f t="shared" si="4"/>
        <v xml:space="preserve">NULL, </v>
      </c>
      <c r="L13" s="40" t="str">
        <f t="shared" si="5"/>
        <v xml:space="preserve">  {"End", m_main_end, NULL, NULL, -1, -1},</v>
      </c>
      <c r="M13" s="76" t="str">
        <f t="shared" si="6"/>
        <v xml:space="preserve">  -1,  // End</v>
      </c>
      <c r="N13" s="53" t="str">
        <f t="shared" si="13"/>
        <v xml:space="preserve">  m_main_end,</v>
      </c>
    </row>
    <row r="14" spans="1:14" x14ac:dyDescent="0.25">
      <c r="A14" s="21">
        <f t="shared" si="1"/>
        <v>12</v>
      </c>
      <c r="B14" s="14" t="s">
        <v>9</v>
      </c>
      <c r="C14" s="20" t="s">
        <v>170</v>
      </c>
      <c r="D14" s="20">
        <v>-1</v>
      </c>
      <c r="E14" s="20">
        <v>127</v>
      </c>
      <c r="F14" s="20">
        <v>-1</v>
      </c>
      <c r="G14" s="29" t="str">
        <f>CONCATENATE("MenuValues[",A14,"]")</f>
        <v>MenuValues[12]</v>
      </c>
      <c r="H14" s="29" t="s">
        <v>96</v>
      </c>
      <c r="I14" s="43" t="str">
        <f t="shared" si="2"/>
        <v xml:space="preserve">"Pot 1 CC", </v>
      </c>
      <c r="J14" s="44" t="str">
        <f t="shared" si="3"/>
        <v xml:space="preserve">&amp;MenuValues[12], </v>
      </c>
      <c r="K14" s="44" t="str">
        <f t="shared" si="4"/>
        <v xml:space="preserve">NULL, </v>
      </c>
      <c r="L14" s="40" t="str">
        <f t="shared" si="5"/>
        <v xml:space="preserve">  {"Pot 1 CC", m_pot_assign, &amp;MenuValues[12], NULL, -1, 127},</v>
      </c>
      <c r="M14" s="76" t="str">
        <f xml:space="preserve"> CONCATENATE("  ",F14,",  // ",B14)</f>
        <v xml:space="preserve">  -1,  // Pot 1 CC</v>
      </c>
      <c r="N14" s="53" t="s">
        <v>158</v>
      </c>
    </row>
    <row r="15" spans="1:14" x14ac:dyDescent="0.25">
      <c r="A15" s="21">
        <f t="shared" si="1"/>
        <v>13</v>
      </c>
      <c r="B15" s="1" t="s">
        <v>10</v>
      </c>
      <c r="C15" s="20" t="s">
        <v>170</v>
      </c>
      <c r="D15" s="20">
        <v>-1</v>
      </c>
      <c r="E15" s="20">
        <v>127</v>
      </c>
      <c r="F15" s="20">
        <v>-1</v>
      </c>
      <c r="G15" s="29" t="str">
        <f>CONCATENATE("MenuValues[",A15,"]")</f>
        <v>MenuValues[13]</v>
      </c>
      <c r="H15" s="29" t="s">
        <v>96</v>
      </c>
      <c r="I15" s="43" t="str">
        <f t="shared" si="2"/>
        <v xml:space="preserve">"Pot 2 CC", </v>
      </c>
      <c r="J15" s="44" t="str">
        <f t="shared" si="3"/>
        <v xml:space="preserve">&amp;MenuValues[13], </v>
      </c>
      <c r="K15" s="44" t="str">
        <f t="shared" si="4"/>
        <v xml:space="preserve">NULL, </v>
      </c>
      <c r="L15" s="40" t="str">
        <f t="shared" si="5"/>
        <v xml:space="preserve">  {"Pot 2 CC", m_pot_assign, &amp;MenuValues[13], NULL, -1, 127},</v>
      </c>
      <c r="M15" s="76" t="str">
        <f t="shared" si="6"/>
        <v xml:space="preserve">  -1,  // Pot 2 CC</v>
      </c>
    </row>
    <row r="16" spans="1:14" x14ac:dyDescent="0.25">
      <c r="A16" s="21">
        <f t="shared" si="1"/>
        <v>14</v>
      </c>
      <c r="B16" s="1" t="s">
        <v>11</v>
      </c>
      <c r="C16" s="20" t="s">
        <v>170</v>
      </c>
      <c r="D16" s="20">
        <v>-1</v>
      </c>
      <c r="E16" s="20">
        <v>127</v>
      </c>
      <c r="F16" s="20">
        <v>-1</v>
      </c>
      <c r="G16" s="29" t="str">
        <f>CONCATENATE("MenuValues[",A16,"]")</f>
        <v>MenuValues[14]</v>
      </c>
      <c r="H16" s="29" t="s">
        <v>96</v>
      </c>
      <c r="I16" s="43" t="str">
        <f t="shared" si="2"/>
        <v xml:space="preserve">"Pot 3 CC", </v>
      </c>
      <c r="J16" s="44" t="str">
        <f t="shared" si="3"/>
        <v xml:space="preserve">&amp;MenuValues[14], </v>
      </c>
      <c r="K16" s="44" t="str">
        <f t="shared" si="4"/>
        <v xml:space="preserve">NULL, </v>
      </c>
      <c r="L16" s="40" t="str">
        <f t="shared" si="5"/>
        <v xml:space="preserve">  {"Pot 3 CC", m_pot_assign, &amp;MenuValues[14], NULL, -1, 127},</v>
      </c>
      <c r="M16" s="76" t="str">
        <f t="shared" si="6"/>
        <v xml:space="preserve">  -1,  // Pot 3 CC</v>
      </c>
    </row>
    <row r="17" spans="1:14" x14ac:dyDescent="0.25">
      <c r="A17" s="21">
        <f t="shared" si="1"/>
        <v>15</v>
      </c>
      <c r="B17" s="1" t="s">
        <v>12</v>
      </c>
      <c r="C17" s="20" t="s">
        <v>170</v>
      </c>
      <c r="D17" s="20">
        <v>-1</v>
      </c>
      <c r="E17" s="20">
        <v>127</v>
      </c>
      <c r="F17" s="20">
        <v>-1</v>
      </c>
      <c r="G17" s="29" t="str">
        <f>CONCATENATE("MenuValues[",A17,"]")</f>
        <v>MenuValues[15]</v>
      </c>
      <c r="H17" s="29" t="s">
        <v>96</v>
      </c>
      <c r="I17" s="43" t="str">
        <f t="shared" si="2"/>
        <v xml:space="preserve">"Pot 4 CC", </v>
      </c>
      <c r="J17" s="44" t="str">
        <f t="shared" si="3"/>
        <v xml:space="preserve">&amp;MenuValues[15], </v>
      </c>
      <c r="K17" s="44" t="str">
        <f t="shared" si="4"/>
        <v xml:space="preserve">NULL, </v>
      </c>
      <c r="L17" s="40" t="str">
        <f t="shared" si="5"/>
        <v xml:space="preserve">  {"Pot 4 CC", m_pot_assign, &amp;MenuValues[15], NULL, -1, 127},</v>
      </c>
      <c r="M17" s="76" t="str">
        <f t="shared" si="6"/>
        <v xml:space="preserve">  -1,  // Pot 4 CC</v>
      </c>
    </row>
    <row r="18" spans="1:14" x14ac:dyDescent="0.25">
      <c r="A18" s="21">
        <f t="shared" si="1"/>
        <v>16</v>
      </c>
      <c r="B18" s="13" t="s">
        <v>173</v>
      </c>
      <c r="C18" s="20" t="s">
        <v>170</v>
      </c>
      <c r="D18" s="61">
        <v>-1</v>
      </c>
      <c r="E18" s="61">
        <v>-1</v>
      </c>
      <c r="F18" s="61">
        <v>-1</v>
      </c>
      <c r="G18" s="29" t="s">
        <v>96</v>
      </c>
      <c r="H18" s="29" t="s">
        <v>96</v>
      </c>
      <c r="I18" s="43" t="str">
        <f t="shared" si="2"/>
        <v xml:space="preserve">"Pot CC", </v>
      </c>
      <c r="J18" s="44" t="str">
        <f t="shared" si="3"/>
        <v xml:space="preserve">NULL, </v>
      </c>
      <c r="K18" s="44" t="str">
        <f t="shared" si="4"/>
        <v xml:space="preserve">NULL, </v>
      </c>
      <c r="L18" s="40" t="str">
        <f t="shared" si="5"/>
        <v xml:space="preserve">  {"Pot CC", m_pot_assign, NULL, NULL, -1, -1},</v>
      </c>
      <c r="M18" s="76" t="str">
        <f t="shared" si="6"/>
        <v xml:space="preserve">  -1,  // Pot CC</v>
      </c>
      <c r="N18" s="7"/>
    </row>
    <row r="19" spans="1:14" x14ac:dyDescent="0.25">
      <c r="A19" s="21">
        <f t="shared" si="1"/>
        <v>17</v>
      </c>
      <c r="B19" s="14" t="s">
        <v>43</v>
      </c>
      <c r="C19" s="20" t="s">
        <v>171</v>
      </c>
      <c r="D19" s="20">
        <v>-1</v>
      </c>
      <c r="E19" s="20">
        <v>127</v>
      </c>
      <c r="F19" s="20">
        <v>-1</v>
      </c>
      <c r="G19" s="29" t="str">
        <f t="shared" ref="G19:G34" si="21">CONCATENATE("MenuValues[",A19,"]")</f>
        <v>MenuValues[17]</v>
      </c>
      <c r="H19" s="29" t="s">
        <v>96</v>
      </c>
      <c r="I19" s="43" t="str">
        <f t="shared" si="2"/>
        <v xml:space="preserve">"Btn 1 CC/Prg", </v>
      </c>
      <c r="J19" s="44" t="str">
        <f t="shared" si="3"/>
        <v xml:space="preserve">&amp;MenuValues[17], </v>
      </c>
      <c r="K19" s="44" t="str">
        <f t="shared" si="4"/>
        <v xml:space="preserve">NULL, </v>
      </c>
      <c r="L19" s="40" t="str">
        <f t="shared" si="5"/>
        <v xml:space="preserve">  {"Btn 1 CC/Prg", m_btn_assign, &amp;MenuValues[17], NULL, -1, 127},</v>
      </c>
      <c r="M19" s="76" t="str">
        <f t="shared" si="6"/>
        <v xml:space="preserve">  -1,  // Btn 1 CC/Prg</v>
      </c>
      <c r="N19" s="7"/>
    </row>
    <row r="20" spans="1:14" s="8" customFormat="1" x14ac:dyDescent="0.25">
      <c r="A20" s="21">
        <f t="shared" si="1"/>
        <v>18</v>
      </c>
      <c r="B20" s="1" t="s">
        <v>44</v>
      </c>
      <c r="C20" s="20" t="s">
        <v>171</v>
      </c>
      <c r="D20" s="20">
        <v>-1</v>
      </c>
      <c r="E20" s="20">
        <v>127</v>
      </c>
      <c r="F20" s="20">
        <v>-1</v>
      </c>
      <c r="G20" s="29" t="str">
        <f t="shared" si="21"/>
        <v>MenuValues[18]</v>
      </c>
      <c r="H20" s="29" t="s">
        <v>96</v>
      </c>
      <c r="I20" s="43" t="str">
        <f t="shared" si="2"/>
        <v xml:space="preserve">"Btn 2 CC/Prg", </v>
      </c>
      <c r="J20" s="44" t="str">
        <f t="shared" si="3"/>
        <v xml:space="preserve">&amp;MenuValues[18], </v>
      </c>
      <c r="K20" s="44" t="str">
        <f t="shared" si="4"/>
        <v xml:space="preserve">NULL, </v>
      </c>
      <c r="L20" s="40" t="str">
        <f t="shared" si="5"/>
        <v xml:space="preserve">  {"Btn 2 CC/Prg", m_btn_assign, &amp;MenuValues[18], NULL, -1, 127},</v>
      </c>
      <c r="M20" s="76" t="str">
        <f t="shared" si="6"/>
        <v xml:space="preserve">  -1,  // Btn 2 CC/Prg</v>
      </c>
      <c r="N20" s="7"/>
    </row>
    <row r="21" spans="1:14" x14ac:dyDescent="0.25">
      <c r="A21" s="21">
        <f t="shared" si="1"/>
        <v>19</v>
      </c>
      <c r="B21" s="1" t="s">
        <v>45</v>
      </c>
      <c r="C21" s="20" t="s">
        <v>171</v>
      </c>
      <c r="D21" s="20">
        <v>-1</v>
      </c>
      <c r="E21" s="20">
        <v>127</v>
      </c>
      <c r="F21" s="20">
        <v>-1</v>
      </c>
      <c r="G21" s="29" t="str">
        <f t="shared" si="21"/>
        <v>MenuValues[19]</v>
      </c>
      <c r="H21" s="29" t="s">
        <v>96</v>
      </c>
      <c r="I21" s="43" t="str">
        <f t="shared" si="2"/>
        <v xml:space="preserve">"Btn 3 CC/Prg", </v>
      </c>
      <c r="J21" s="44" t="str">
        <f t="shared" si="3"/>
        <v xml:space="preserve">&amp;MenuValues[19], </v>
      </c>
      <c r="K21" s="44" t="str">
        <f t="shared" si="4"/>
        <v xml:space="preserve">NULL, </v>
      </c>
      <c r="L21" s="40" t="str">
        <f t="shared" si="5"/>
        <v xml:space="preserve">  {"Btn 3 CC/Prg", m_btn_assign, &amp;MenuValues[19], NULL, -1, 127},</v>
      </c>
      <c r="M21" s="76" t="str">
        <f t="shared" si="6"/>
        <v xml:space="preserve">  -1,  // Btn 3 CC/Prg</v>
      </c>
      <c r="N21" s="7"/>
    </row>
    <row r="22" spans="1:14" x14ac:dyDescent="0.25">
      <c r="A22" s="21">
        <f t="shared" si="1"/>
        <v>20</v>
      </c>
      <c r="B22" s="1" t="s">
        <v>46</v>
      </c>
      <c r="C22" s="20" t="s">
        <v>171</v>
      </c>
      <c r="D22" s="20">
        <v>-1</v>
      </c>
      <c r="E22" s="20">
        <v>127</v>
      </c>
      <c r="F22" s="20">
        <v>-1</v>
      </c>
      <c r="G22" s="29" t="str">
        <f t="shared" si="21"/>
        <v>MenuValues[20]</v>
      </c>
      <c r="H22" s="29" t="s">
        <v>96</v>
      </c>
      <c r="I22" s="43" t="str">
        <f t="shared" si="2"/>
        <v xml:space="preserve">"Btn 4 CC/Prg", </v>
      </c>
      <c r="J22" s="44" t="str">
        <f t="shared" si="3"/>
        <v xml:space="preserve">&amp;MenuValues[20], </v>
      </c>
      <c r="K22" s="44" t="str">
        <f t="shared" si="4"/>
        <v xml:space="preserve">NULL, </v>
      </c>
      <c r="L22" s="40" t="str">
        <f t="shared" si="5"/>
        <v xml:space="preserve">  {"Btn 4 CC/Prg", m_btn_assign, &amp;MenuValues[20], NULL, -1, 127},</v>
      </c>
      <c r="M22" s="76" t="str">
        <f t="shared" si="6"/>
        <v xml:space="preserve">  -1,  // Btn 4 CC/Prg</v>
      </c>
      <c r="N22" s="7"/>
    </row>
    <row r="23" spans="1:14" x14ac:dyDescent="0.25">
      <c r="A23" s="21">
        <f t="shared" si="1"/>
        <v>21</v>
      </c>
      <c r="B23" s="1" t="s">
        <v>47</v>
      </c>
      <c r="C23" s="20" t="s">
        <v>171</v>
      </c>
      <c r="D23" s="20">
        <v>-1</v>
      </c>
      <c r="E23" s="20">
        <v>127</v>
      </c>
      <c r="F23" s="20">
        <v>-1</v>
      </c>
      <c r="G23" s="29" t="str">
        <f t="shared" si="21"/>
        <v>MenuValues[21]</v>
      </c>
      <c r="H23" s="29" t="s">
        <v>96</v>
      </c>
      <c r="I23" s="43" t="str">
        <f t="shared" si="2"/>
        <v xml:space="preserve">"Btn 5 CC/Prg", </v>
      </c>
      <c r="J23" s="44" t="str">
        <f t="shared" si="3"/>
        <v xml:space="preserve">&amp;MenuValues[21], </v>
      </c>
      <c r="K23" s="44" t="str">
        <f t="shared" si="4"/>
        <v xml:space="preserve">NULL, </v>
      </c>
      <c r="L23" s="40" t="str">
        <f t="shared" si="5"/>
        <v xml:space="preserve">  {"Btn 5 CC/Prg", m_btn_assign, &amp;MenuValues[21], NULL, -1, 127},</v>
      </c>
      <c r="M23" s="76" t="str">
        <f t="shared" si="6"/>
        <v xml:space="preserve">  -1,  // Btn 5 CC/Prg</v>
      </c>
      <c r="N23" s="7"/>
    </row>
    <row r="24" spans="1:14" x14ac:dyDescent="0.25">
      <c r="A24" s="21">
        <f t="shared" si="1"/>
        <v>22</v>
      </c>
      <c r="B24" s="1" t="s">
        <v>48</v>
      </c>
      <c r="C24" s="20" t="s">
        <v>171</v>
      </c>
      <c r="D24" s="20">
        <v>-1</v>
      </c>
      <c r="E24" s="20">
        <v>127</v>
      </c>
      <c r="F24" s="20">
        <v>-1</v>
      </c>
      <c r="G24" s="29" t="str">
        <f t="shared" si="21"/>
        <v>MenuValues[22]</v>
      </c>
      <c r="H24" s="29" t="s">
        <v>96</v>
      </c>
      <c r="I24" s="43" t="str">
        <f t="shared" si="2"/>
        <v xml:space="preserve">"Btn 6 CC/Prg", </v>
      </c>
      <c r="J24" s="44" t="str">
        <f t="shared" si="3"/>
        <v xml:space="preserve">&amp;MenuValues[22], </v>
      </c>
      <c r="K24" s="44" t="str">
        <f t="shared" si="4"/>
        <v xml:space="preserve">NULL, </v>
      </c>
      <c r="L24" s="40" t="str">
        <f t="shared" si="5"/>
        <v xml:space="preserve">  {"Btn 6 CC/Prg", m_btn_assign, &amp;MenuValues[22], NULL, -1, 127},</v>
      </c>
      <c r="M24" s="76" t="str">
        <f t="shared" si="6"/>
        <v xml:space="preserve">  -1,  // Btn 6 CC/Prg</v>
      </c>
      <c r="N24" s="7"/>
    </row>
    <row r="25" spans="1:14" x14ac:dyDescent="0.25">
      <c r="A25" s="21">
        <f t="shared" si="1"/>
        <v>23</v>
      </c>
      <c r="B25" s="1" t="s">
        <v>49</v>
      </c>
      <c r="C25" s="20" t="s">
        <v>171</v>
      </c>
      <c r="D25" s="20">
        <v>-1</v>
      </c>
      <c r="E25" s="20">
        <v>127</v>
      </c>
      <c r="F25" s="20">
        <v>-1</v>
      </c>
      <c r="G25" s="29" t="str">
        <f t="shared" si="21"/>
        <v>MenuValues[23]</v>
      </c>
      <c r="H25" s="29" t="s">
        <v>96</v>
      </c>
      <c r="I25" s="43" t="str">
        <f t="shared" si="2"/>
        <v xml:space="preserve">"Btn 7 CC/Prg", </v>
      </c>
      <c r="J25" s="44" t="str">
        <f t="shared" si="3"/>
        <v xml:space="preserve">&amp;MenuValues[23], </v>
      </c>
      <c r="K25" s="44" t="str">
        <f t="shared" si="4"/>
        <v xml:space="preserve">NULL, </v>
      </c>
      <c r="L25" s="40" t="str">
        <f t="shared" si="5"/>
        <v xml:space="preserve">  {"Btn 7 CC/Prg", m_btn_assign, &amp;MenuValues[23], NULL, -1, 127},</v>
      </c>
      <c r="M25" s="76" t="str">
        <f t="shared" si="6"/>
        <v xml:space="preserve">  -1,  // Btn 7 CC/Prg</v>
      </c>
      <c r="N25" s="7"/>
    </row>
    <row r="26" spans="1:14" x14ac:dyDescent="0.25">
      <c r="A26" s="21">
        <f t="shared" si="1"/>
        <v>24</v>
      </c>
      <c r="B26" s="1" t="s">
        <v>50</v>
      </c>
      <c r="C26" s="20" t="s">
        <v>171</v>
      </c>
      <c r="D26" s="20">
        <v>-1</v>
      </c>
      <c r="E26" s="20">
        <v>127</v>
      </c>
      <c r="F26" s="20">
        <v>-1</v>
      </c>
      <c r="G26" s="29" t="str">
        <f t="shared" si="21"/>
        <v>MenuValues[24]</v>
      </c>
      <c r="H26" s="29" t="s">
        <v>96</v>
      </c>
      <c r="I26" s="43" t="str">
        <f t="shared" si="2"/>
        <v xml:space="preserve">"Btn 8 CC/Prg", </v>
      </c>
      <c r="J26" s="44" t="str">
        <f t="shared" si="3"/>
        <v xml:space="preserve">&amp;MenuValues[24], </v>
      </c>
      <c r="K26" s="44" t="str">
        <f t="shared" si="4"/>
        <v xml:space="preserve">NULL, </v>
      </c>
      <c r="L26" s="40" t="str">
        <f t="shared" si="5"/>
        <v xml:space="preserve">  {"Btn 8 CC/Prg", m_btn_assign, &amp;MenuValues[24], NULL, -1, 127},</v>
      </c>
      <c r="M26" s="76" t="str">
        <f t="shared" si="6"/>
        <v xml:space="preserve">  -1,  // Btn 8 CC/Prg</v>
      </c>
      <c r="N26" s="7"/>
    </row>
    <row r="27" spans="1:14" x14ac:dyDescent="0.25">
      <c r="A27" s="21">
        <f t="shared" si="1"/>
        <v>25</v>
      </c>
      <c r="B27" s="1" t="s">
        <v>51</v>
      </c>
      <c r="C27" s="20" t="s">
        <v>171</v>
      </c>
      <c r="D27" s="20">
        <v>-1</v>
      </c>
      <c r="E27" s="20">
        <v>127</v>
      </c>
      <c r="F27" s="20">
        <v>-1</v>
      </c>
      <c r="G27" s="29" t="str">
        <f t="shared" si="21"/>
        <v>MenuValues[25]</v>
      </c>
      <c r="H27" s="29" t="s">
        <v>96</v>
      </c>
      <c r="I27" s="43" t="str">
        <f t="shared" si="2"/>
        <v xml:space="preserve">"Btn 9 CC/Prg", </v>
      </c>
      <c r="J27" s="44" t="str">
        <f t="shared" si="3"/>
        <v xml:space="preserve">&amp;MenuValues[25], </v>
      </c>
      <c r="K27" s="44" t="str">
        <f t="shared" si="4"/>
        <v xml:space="preserve">NULL, </v>
      </c>
      <c r="L27" s="40" t="str">
        <f t="shared" si="5"/>
        <v xml:space="preserve">  {"Btn 9 CC/Prg", m_btn_assign, &amp;MenuValues[25], NULL, -1, 127},</v>
      </c>
      <c r="M27" s="76" t="str">
        <f t="shared" si="6"/>
        <v xml:space="preserve">  -1,  // Btn 9 CC/Prg</v>
      </c>
      <c r="N27" s="11"/>
    </row>
    <row r="28" spans="1:14" x14ac:dyDescent="0.25">
      <c r="A28" s="21">
        <f t="shared" si="1"/>
        <v>26</v>
      </c>
      <c r="B28" s="1" t="s">
        <v>52</v>
      </c>
      <c r="C28" s="20" t="s">
        <v>171</v>
      </c>
      <c r="D28" s="20">
        <v>-1</v>
      </c>
      <c r="E28" s="20">
        <v>127</v>
      </c>
      <c r="F28" s="20">
        <v>-1</v>
      </c>
      <c r="G28" s="29" t="str">
        <f t="shared" si="21"/>
        <v>MenuValues[26]</v>
      </c>
      <c r="H28" s="29" t="s">
        <v>96</v>
      </c>
      <c r="I28" s="43" t="str">
        <f t="shared" si="2"/>
        <v xml:space="preserve">"Btn 10 CC/Prg", </v>
      </c>
      <c r="J28" s="44" t="str">
        <f t="shared" si="3"/>
        <v xml:space="preserve">&amp;MenuValues[26], </v>
      </c>
      <c r="K28" s="44" t="str">
        <f t="shared" si="4"/>
        <v xml:space="preserve">NULL, </v>
      </c>
      <c r="L28" s="40" t="str">
        <f t="shared" si="5"/>
        <v xml:space="preserve">  {"Btn 10 CC/Prg", m_btn_assign, &amp;MenuValues[26], NULL, -1, 127},</v>
      </c>
      <c r="M28" s="76" t="str">
        <f t="shared" si="6"/>
        <v xml:space="preserve">  -1,  // Btn 10 CC/Prg</v>
      </c>
      <c r="N28" s="11"/>
    </row>
    <row r="29" spans="1:14" x14ac:dyDescent="0.25">
      <c r="A29" s="21">
        <f t="shared" si="1"/>
        <v>27</v>
      </c>
      <c r="B29" s="1" t="s">
        <v>53</v>
      </c>
      <c r="C29" s="20" t="s">
        <v>171</v>
      </c>
      <c r="D29" s="20">
        <v>-1</v>
      </c>
      <c r="E29" s="20">
        <v>127</v>
      </c>
      <c r="F29" s="20">
        <v>-1</v>
      </c>
      <c r="G29" s="29" t="str">
        <f t="shared" si="21"/>
        <v>MenuValues[27]</v>
      </c>
      <c r="H29" s="29" t="s">
        <v>96</v>
      </c>
      <c r="I29" s="43" t="str">
        <f t="shared" si="2"/>
        <v xml:space="preserve">"Btn 11 CC/Prg", </v>
      </c>
      <c r="J29" s="44" t="str">
        <f t="shared" si="3"/>
        <v xml:space="preserve">&amp;MenuValues[27], </v>
      </c>
      <c r="K29" s="44" t="str">
        <f t="shared" si="4"/>
        <v xml:space="preserve">NULL, </v>
      </c>
      <c r="L29" s="40" t="str">
        <f t="shared" si="5"/>
        <v xml:space="preserve">  {"Btn 11 CC/Prg", m_btn_assign, &amp;MenuValues[27], NULL, -1, 127},</v>
      </c>
      <c r="M29" s="76" t="str">
        <f t="shared" si="6"/>
        <v xml:space="preserve">  -1,  // Btn 11 CC/Prg</v>
      </c>
      <c r="N29" s="11"/>
    </row>
    <row r="30" spans="1:14" x14ac:dyDescent="0.25">
      <c r="A30" s="21">
        <f t="shared" si="1"/>
        <v>28</v>
      </c>
      <c r="B30" s="1" t="s">
        <v>54</v>
      </c>
      <c r="C30" s="20" t="s">
        <v>171</v>
      </c>
      <c r="D30" s="20">
        <v>-1</v>
      </c>
      <c r="E30" s="20">
        <v>127</v>
      </c>
      <c r="F30" s="20">
        <v>-1</v>
      </c>
      <c r="G30" s="29" t="str">
        <f t="shared" si="21"/>
        <v>MenuValues[28]</v>
      </c>
      <c r="H30" s="29" t="s">
        <v>96</v>
      </c>
      <c r="I30" s="43" t="str">
        <f t="shared" si="2"/>
        <v xml:space="preserve">"Btn 12 CC/Prg", </v>
      </c>
      <c r="J30" s="44" t="str">
        <f t="shared" si="3"/>
        <v xml:space="preserve">&amp;MenuValues[28], </v>
      </c>
      <c r="K30" s="44" t="str">
        <f t="shared" si="4"/>
        <v xml:space="preserve">NULL, </v>
      </c>
      <c r="L30" s="40" t="str">
        <f t="shared" si="5"/>
        <v xml:space="preserve">  {"Btn 12 CC/Prg", m_btn_assign, &amp;MenuValues[28], NULL, -1, 127},</v>
      </c>
      <c r="M30" s="76" t="str">
        <f t="shared" si="6"/>
        <v xml:space="preserve">  -1,  // Btn 12 CC/Prg</v>
      </c>
      <c r="N30" s="11"/>
    </row>
    <row r="31" spans="1:14" x14ac:dyDescent="0.25">
      <c r="A31" s="21">
        <f t="shared" si="1"/>
        <v>29</v>
      </c>
      <c r="B31" s="1" t="s">
        <v>55</v>
      </c>
      <c r="C31" s="20" t="s">
        <v>171</v>
      </c>
      <c r="D31" s="20">
        <v>-1</v>
      </c>
      <c r="E31" s="20">
        <v>127</v>
      </c>
      <c r="F31" s="20">
        <v>-1</v>
      </c>
      <c r="G31" s="29" t="str">
        <f t="shared" si="21"/>
        <v>MenuValues[29]</v>
      </c>
      <c r="H31" s="29" t="s">
        <v>96</v>
      </c>
      <c r="I31" s="43" t="str">
        <f t="shared" si="2"/>
        <v xml:space="preserve">"Btn 13 CC/Prg", </v>
      </c>
      <c r="J31" s="44" t="str">
        <f t="shared" si="3"/>
        <v xml:space="preserve">&amp;MenuValues[29], </v>
      </c>
      <c r="K31" s="44" t="str">
        <f t="shared" si="4"/>
        <v xml:space="preserve">NULL, </v>
      </c>
      <c r="L31" s="40" t="str">
        <f t="shared" si="5"/>
        <v xml:space="preserve">  {"Btn 13 CC/Prg", m_btn_assign, &amp;MenuValues[29], NULL, -1, 127},</v>
      </c>
      <c r="M31" s="76" t="str">
        <f t="shared" si="6"/>
        <v xml:space="preserve">  -1,  // Btn 13 CC/Prg</v>
      </c>
      <c r="N31" s="11"/>
    </row>
    <row r="32" spans="1:14" x14ac:dyDescent="0.25">
      <c r="A32" s="21">
        <f t="shared" si="1"/>
        <v>30</v>
      </c>
      <c r="B32" s="1" t="s">
        <v>56</v>
      </c>
      <c r="C32" s="20" t="s">
        <v>171</v>
      </c>
      <c r="D32" s="20">
        <v>-1</v>
      </c>
      <c r="E32" s="20">
        <v>127</v>
      </c>
      <c r="F32" s="20">
        <v>-1</v>
      </c>
      <c r="G32" s="29" t="str">
        <f t="shared" si="21"/>
        <v>MenuValues[30]</v>
      </c>
      <c r="H32" s="29" t="s">
        <v>96</v>
      </c>
      <c r="I32" s="43" t="str">
        <f t="shared" si="2"/>
        <v xml:space="preserve">"Btn 14 CC/Prg", </v>
      </c>
      <c r="J32" s="44" t="str">
        <f t="shared" si="3"/>
        <v xml:space="preserve">&amp;MenuValues[30], </v>
      </c>
      <c r="K32" s="44" t="str">
        <f t="shared" si="4"/>
        <v xml:space="preserve">NULL, </v>
      </c>
      <c r="L32" s="40" t="str">
        <f t="shared" si="5"/>
        <v xml:space="preserve">  {"Btn 14 CC/Prg", m_btn_assign, &amp;MenuValues[30], NULL, -1, 127},</v>
      </c>
      <c r="M32" s="76" t="str">
        <f t="shared" si="6"/>
        <v xml:space="preserve">  -1,  // Btn 14 CC/Prg</v>
      </c>
      <c r="N32" s="11"/>
    </row>
    <row r="33" spans="1:14" x14ac:dyDescent="0.25">
      <c r="A33" s="21">
        <f t="shared" si="1"/>
        <v>31</v>
      </c>
      <c r="B33" s="1" t="s">
        <v>57</v>
      </c>
      <c r="C33" s="20" t="s">
        <v>171</v>
      </c>
      <c r="D33" s="20">
        <v>-1</v>
      </c>
      <c r="E33" s="20">
        <v>127</v>
      </c>
      <c r="F33" s="20">
        <v>-1</v>
      </c>
      <c r="G33" s="29" t="str">
        <f t="shared" si="21"/>
        <v>MenuValues[31]</v>
      </c>
      <c r="H33" s="29" t="s">
        <v>96</v>
      </c>
      <c r="I33" s="43" t="str">
        <f t="shared" si="2"/>
        <v xml:space="preserve">"Btn 15 CC/Prg", </v>
      </c>
      <c r="J33" s="44" t="str">
        <f t="shared" si="3"/>
        <v xml:space="preserve">&amp;MenuValues[31], </v>
      </c>
      <c r="K33" s="44" t="str">
        <f t="shared" si="4"/>
        <v xml:space="preserve">NULL, </v>
      </c>
      <c r="L33" s="40" t="str">
        <f t="shared" si="5"/>
        <v xml:space="preserve">  {"Btn 15 CC/Prg", m_btn_assign, &amp;MenuValues[31], NULL, -1, 127},</v>
      </c>
      <c r="M33" s="76" t="str">
        <f t="shared" si="6"/>
        <v xml:space="preserve">  -1,  // Btn 15 CC/Prg</v>
      </c>
      <c r="N33" s="11"/>
    </row>
    <row r="34" spans="1:14" x14ac:dyDescent="0.25">
      <c r="A34" s="21">
        <f t="shared" si="1"/>
        <v>32</v>
      </c>
      <c r="B34" s="1" t="s">
        <v>58</v>
      </c>
      <c r="C34" s="20" t="s">
        <v>171</v>
      </c>
      <c r="D34" s="20">
        <v>-1</v>
      </c>
      <c r="E34" s="20">
        <v>127</v>
      </c>
      <c r="F34" s="20">
        <v>-1</v>
      </c>
      <c r="G34" s="29" t="str">
        <f t="shared" si="21"/>
        <v>MenuValues[32]</v>
      </c>
      <c r="H34" s="29" t="s">
        <v>96</v>
      </c>
      <c r="I34" s="43" t="str">
        <f t="shared" si="2"/>
        <v xml:space="preserve">"Btn 16 CC/Prg", </v>
      </c>
      <c r="J34" s="44" t="str">
        <f t="shared" si="3"/>
        <v xml:space="preserve">&amp;MenuValues[32], </v>
      </c>
      <c r="K34" s="44" t="str">
        <f t="shared" si="4"/>
        <v xml:space="preserve">NULL, </v>
      </c>
      <c r="L34" s="40" t="str">
        <f t="shared" si="5"/>
        <v xml:space="preserve">  {"Btn 16 CC/Prg", m_btn_assign, &amp;MenuValues[32], NULL, -1, 127},</v>
      </c>
      <c r="M34" s="76" t="str">
        <f t="shared" si="6"/>
        <v xml:space="preserve">  -1,  // Btn 16 CC/Prg</v>
      </c>
      <c r="N34" s="11"/>
    </row>
    <row r="35" spans="1:14" x14ac:dyDescent="0.25">
      <c r="A35" s="21">
        <f t="shared" si="1"/>
        <v>33</v>
      </c>
      <c r="B35" s="13" t="s">
        <v>174</v>
      </c>
      <c r="C35" s="20" t="s">
        <v>171</v>
      </c>
      <c r="D35" s="61">
        <v>-1</v>
      </c>
      <c r="E35" s="61">
        <v>-1</v>
      </c>
      <c r="F35" s="61">
        <v>-1</v>
      </c>
      <c r="G35" s="29" t="s">
        <v>96</v>
      </c>
      <c r="H35" s="29" t="s">
        <v>96</v>
      </c>
      <c r="I35" s="43" t="str">
        <f t="shared" si="2"/>
        <v xml:space="preserve">"Btn CC", </v>
      </c>
      <c r="J35" s="44" t="str">
        <f t="shared" si="3"/>
        <v xml:space="preserve">NULL, </v>
      </c>
      <c r="K35" s="44" t="str">
        <f t="shared" si="4"/>
        <v xml:space="preserve">NULL, </v>
      </c>
      <c r="L35" s="40" t="str">
        <f t="shared" si="5"/>
        <v xml:space="preserve">  {"Btn CC", m_btn_assign, NULL, NULL, -1, -1},</v>
      </c>
      <c r="M35" s="76" t="str">
        <f t="shared" si="6"/>
        <v xml:space="preserve">  -1,  // Btn CC</v>
      </c>
      <c r="N35" s="11"/>
    </row>
    <row r="36" spans="1:14" x14ac:dyDescent="0.25">
      <c r="A36" s="21">
        <f t="shared" si="1"/>
        <v>34</v>
      </c>
      <c r="B36" s="14" t="s">
        <v>26</v>
      </c>
      <c r="C36" s="20" t="s">
        <v>172</v>
      </c>
      <c r="D36" s="20">
        <v>0</v>
      </c>
      <c r="E36" s="20">
        <v>3</v>
      </c>
      <c r="F36" s="20">
        <v>0</v>
      </c>
      <c r="G36" s="29" t="str">
        <f t="shared" ref="G36:G51" si="22">CONCATENATE("MenuValues[",A36,"]")</f>
        <v>MenuValues[34]</v>
      </c>
      <c r="H36" s="29" t="s">
        <v>182</v>
      </c>
      <c r="I36" s="43" t="str">
        <f t="shared" si="2"/>
        <v xml:space="preserve">"Btn 1 Mode", </v>
      </c>
      <c r="J36" s="44" t="str">
        <f t="shared" si="3"/>
        <v xml:space="preserve">&amp;MenuValues[34], </v>
      </c>
      <c r="K36" s="44" t="str">
        <f t="shared" si="4"/>
        <v xml:space="preserve">&amp;setBtnMode, </v>
      </c>
      <c r="L36" s="40" t="str">
        <f t="shared" si="5"/>
        <v xml:space="preserve">  {"Btn 1 Mode", m_btn_mode, &amp;MenuValues[34], &amp;setBtnMode, 0, 3},</v>
      </c>
      <c r="M36" s="76" t="str">
        <f t="shared" si="6"/>
        <v xml:space="preserve">  0,  // Btn 1 Mode</v>
      </c>
      <c r="N36" s="11"/>
    </row>
    <row r="37" spans="1:14" x14ac:dyDescent="0.25">
      <c r="A37" s="21">
        <f t="shared" si="1"/>
        <v>35</v>
      </c>
      <c r="B37" s="1" t="s">
        <v>27</v>
      </c>
      <c r="C37" s="20" t="s">
        <v>172</v>
      </c>
      <c r="D37" s="20">
        <v>0</v>
      </c>
      <c r="E37" s="20">
        <v>3</v>
      </c>
      <c r="F37" s="20">
        <v>0</v>
      </c>
      <c r="G37" s="29" t="str">
        <f t="shared" si="22"/>
        <v>MenuValues[35]</v>
      </c>
      <c r="H37" s="29" t="s">
        <v>182</v>
      </c>
      <c r="I37" s="43" t="str">
        <f t="shared" si="2"/>
        <v xml:space="preserve">"Btn 2 Mode", </v>
      </c>
      <c r="J37" s="44" t="str">
        <f t="shared" si="3"/>
        <v xml:space="preserve">&amp;MenuValues[35], </v>
      </c>
      <c r="K37" s="44" t="str">
        <f t="shared" si="4"/>
        <v xml:space="preserve">&amp;setBtnMode, </v>
      </c>
      <c r="L37" s="40" t="str">
        <f t="shared" ref="L37:L56" si="23">CONCATENATE("  {",I37,C37,", ",J37,K37,D37,", ",E37,"},")</f>
        <v xml:space="preserve">  {"Btn 2 Mode", m_btn_mode, &amp;MenuValues[35], &amp;setBtnMode, 0, 3},</v>
      </c>
      <c r="M37" s="76" t="str">
        <f t="shared" si="6"/>
        <v xml:space="preserve">  0,  // Btn 2 Mode</v>
      </c>
      <c r="N37" s="11"/>
    </row>
    <row r="38" spans="1:14" x14ac:dyDescent="0.25">
      <c r="A38" s="21">
        <f t="shared" si="1"/>
        <v>36</v>
      </c>
      <c r="B38" s="1" t="s">
        <v>28</v>
      </c>
      <c r="C38" s="20" t="s">
        <v>172</v>
      </c>
      <c r="D38" s="20">
        <v>0</v>
      </c>
      <c r="E38" s="20">
        <v>3</v>
      </c>
      <c r="F38" s="20">
        <v>0</v>
      </c>
      <c r="G38" s="29" t="str">
        <f t="shared" si="22"/>
        <v>MenuValues[36]</v>
      </c>
      <c r="H38" s="29" t="s">
        <v>182</v>
      </c>
      <c r="I38" s="43" t="str">
        <f t="shared" si="2"/>
        <v xml:space="preserve">"Btn 3 Mode", </v>
      </c>
      <c r="J38" s="44" t="str">
        <f t="shared" si="3"/>
        <v xml:space="preserve">&amp;MenuValues[36], </v>
      </c>
      <c r="K38" s="44" t="str">
        <f t="shared" si="4"/>
        <v xml:space="preserve">&amp;setBtnMode, </v>
      </c>
      <c r="L38" s="40" t="str">
        <f t="shared" si="23"/>
        <v xml:space="preserve">  {"Btn 3 Mode", m_btn_mode, &amp;MenuValues[36], &amp;setBtnMode, 0, 3},</v>
      </c>
      <c r="M38" s="76" t="str">
        <f t="shared" si="6"/>
        <v xml:space="preserve">  0,  // Btn 3 Mode</v>
      </c>
      <c r="N38" s="11"/>
    </row>
    <row r="39" spans="1:14" x14ac:dyDescent="0.25">
      <c r="A39" s="21">
        <f t="shared" si="1"/>
        <v>37</v>
      </c>
      <c r="B39" s="1" t="s">
        <v>29</v>
      </c>
      <c r="C39" s="20" t="s">
        <v>172</v>
      </c>
      <c r="D39" s="20">
        <v>0</v>
      </c>
      <c r="E39" s="20">
        <v>3</v>
      </c>
      <c r="F39" s="20">
        <v>0</v>
      </c>
      <c r="G39" s="29" t="str">
        <f t="shared" si="22"/>
        <v>MenuValues[37]</v>
      </c>
      <c r="H39" s="29" t="s">
        <v>182</v>
      </c>
      <c r="I39" s="43" t="str">
        <f t="shared" si="2"/>
        <v xml:space="preserve">"Btn 4 Mode", </v>
      </c>
      <c r="J39" s="44" t="str">
        <f t="shared" si="3"/>
        <v xml:space="preserve">&amp;MenuValues[37], </v>
      </c>
      <c r="K39" s="44" t="str">
        <f t="shared" si="4"/>
        <v xml:space="preserve">&amp;setBtnMode, </v>
      </c>
      <c r="L39" s="40" t="str">
        <f t="shared" si="23"/>
        <v xml:space="preserve">  {"Btn 4 Mode", m_btn_mode, &amp;MenuValues[37], &amp;setBtnMode, 0, 3},</v>
      </c>
      <c r="M39" s="76" t="str">
        <f t="shared" si="6"/>
        <v xml:space="preserve">  0,  // Btn 4 Mode</v>
      </c>
      <c r="N39" s="11"/>
    </row>
    <row r="40" spans="1:14" x14ac:dyDescent="0.25">
      <c r="A40" s="21">
        <f t="shared" si="1"/>
        <v>38</v>
      </c>
      <c r="B40" s="1" t="s">
        <v>30</v>
      </c>
      <c r="C40" s="20" t="s">
        <v>172</v>
      </c>
      <c r="D40" s="20">
        <v>0</v>
      </c>
      <c r="E40" s="20">
        <v>3</v>
      </c>
      <c r="F40" s="20">
        <v>0</v>
      </c>
      <c r="G40" s="29" t="str">
        <f t="shared" si="22"/>
        <v>MenuValues[38]</v>
      </c>
      <c r="H40" s="29" t="s">
        <v>182</v>
      </c>
      <c r="I40" s="43" t="str">
        <f t="shared" si="2"/>
        <v xml:space="preserve">"Btn 5 Mode", </v>
      </c>
      <c r="J40" s="44" t="str">
        <f t="shared" si="3"/>
        <v xml:space="preserve">&amp;MenuValues[38], </v>
      </c>
      <c r="K40" s="44" t="str">
        <f t="shared" si="4"/>
        <v xml:space="preserve">&amp;setBtnMode, </v>
      </c>
      <c r="L40" s="40" t="str">
        <f t="shared" si="23"/>
        <v xml:space="preserve">  {"Btn 5 Mode", m_btn_mode, &amp;MenuValues[38], &amp;setBtnMode, 0, 3},</v>
      </c>
      <c r="M40" s="76" t="str">
        <f t="shared" si="6"/>
        <v xml:space="preserve">  0,  // Btn 5 Mode</v>
      </c>
      <c r="N40" s="11"/>
    </row>
    <row r="41" spans="1:14" x14ac:dyDescent="0.25">
      <c r="A41" s="21">
        <f t="shared" si="1"/>
        <v>39</v>
      </c>
      <c r="B41" s="1" t="s">
        <v>31</v>
      </c>
      <c r="C41" s="20" t="s">
        <v>172</v>
      </c>
      <c r="D41" s="20">
        <v>0</v>
      </c>
      <c r="E41" s="20">
        <v>3</v>
      </c>
      <c r="F41" s="20">
        <v>0</v>
      </c>
      <c r="G41" s="29" t="str">
        <f t="shared" si="22"/>
        <v>MenuValues[39]</v>
      </c>
      <c r="H41" s="29" t="s">
        <v>182</v>
      </c>
      <c r="I41" s="43" t="str">
        <f t="shared" si="2"/>
        <v xml:space="preserve">"Btn 6 Mode", </v>
      </c>
      <c r="J41" s="44" t="str">
        <f t="shared" si="3"/>
        <v xml:space="preserve">&amp;MenuValues[39], </v>
      </c>
      <c r="K41" s="44" t="str">
        <f t="shared" si="4"/>
        <v xml:space="preserve">&amp;setBtnMode, </v>
      </c>
      <c r="L41" s="40" t="str">
        <f t="shared" si="23"/>
        <v xml:space="preserve">  {"Btn 6 Mode", m_btn_mode, &amp;MenuValues[39], &amp;setBtnMode, 0, 3},</v>
      </c>
      <c r="M41" s="76" t="str">
        <f t="shared" si="6"/>
        <v xml:space="preserve">  0,  // Btn 6 Mode</v>
      </c>
      <c r="N41" s="11"/>
    </row>
    <row r="42" spans="1:14" x14ac:dyDescent="0.25">
      <c r="A42" s="21">
        <f t="shared" si="1"/>
        <v>40</v>
      </c>
      <c r="B42" s="1" t="s">
        <v>32</v>
      </c>
      <c r="C42" s="20" t="s">
        <v>172</v>
      </c>
      <c r="D42" s="20">
        <v>0</v>
      </c>
      <c r="E42" s="20">
        <v>3</v>
      </c>
      <c r="F42" s="20">
        <v>0</v>
      </c>
      <c r="G42" s="29" t="str">
        <f t="shared" si="22"/>
        <v>MenuValues[40]</v>
      </c>
      <c r="H42" s="29" t="s">
        <v>182</v>
      </c>
      <c r="I42" s="43" t="str">
        <f t="shared" si="2"/>
        <v xml:space="preserve">"Btn 7 Mode", </v>
      </c>
      <c r="J42" s="44" t="str">
        <f t="shared" si="3"/>
        <v xml:space="preserve">&amp;MenuValues[40], </v>
      </c>
      <c r="K42" s="44" t="str">
        <f t="shared" si="4"/>
        <v xml:space="preserve">&amp;setBtnMode, </v>
      </c>
      <c r="L42" s="40" t="str">
        <f t="shared" si="23"/>
        <v xml:space="preserve">  {"Btn 7 Mode", m_btn_mode, &amp;MenuValues[40], &amp;setBtnMode, 0, 3},</v>
      </c>
      <c r="M42" s="76" t="str">
        <f t="shared" si="6"/>
        <v xml:space="preserve">  0,  // Btn 7 Mode</v>
      </c>
      <c r="N42" s="11"/>
    </row>
    <row r="43" spans="1:14" x14ac:dyDescent="0.25">
      <c r="A43" s="21">
        <f t="shared" si="1"/>
        <v>41</v>
      </c>
      <c r="B43" s="1" t="s">
        <v>33</v>
      </c>
      <c r="C43" s="20" t="s">
        <v>172</v>
      </c>
      <c r="D43" s="20">
        <v>0</v>
      </c>
      <c r="E43" s="20">
        <v>3</v>
      </c>
      <c r="F43" s="20">
        <v>0</v>
      </c>
      <c r="G43" s="29" t="str">
        <f t="shared" si="22"/>
        <v>MenuValues[41]</v>
      </c>
      <c r="H43" s="29" t="s">
        <v>182</v>
      </c>
      <c r="I43" s="43" t="str">
        <f t="shared" si="2"/>
        <v xml:space="preserve">"Btn 8 Mode", </v>
      </c>
      <c r="J43" s="44" t="str">
        <f t="shared" si="3"/>
        <v xml:space="preserve">&amp;MenuValues[41], </v>
      </c>
      <c r="K43" s="44" t="str">
        <f t="shared" si="4"/>
        <v xml:space="preserve">&amp;setBtnMode, </v>
      </c>
      <c r="L43" s="40" t="str">
        <f t="shared" si="23"/>
        <v xml:space="preserve">  {"Btn 8 Mode", m_btn_mode, &amp;MenuValues[41], &amp;setBtnMode, 0, 3},</v>
      </c>
      <c r="M43" s="76" t="str">
        <f t="shared" si="6"/>
        <v xml:space="preserve">  0,  // Btn 8 Mode</v>
      </c>
      <c r="N43" s="11"/>
    </row>
    <row r="44" spans="1:14" x14ac:dyDescent="0.25">
      <c r="A44" s="21">
        <f t="shared" si="1"/>
        <v>42</v>
      </c>
      <c r="B44" s="1" t="s">
        <v>34</v>
      </c>
      <c r="C44" s="20" t="s">
        <v>172</v>
      </c>
      <c r="D44" s="20">
        <v>0</v>
      </c>
      <c r="E44" s="20">
        <v>3</v>
      </c>
      <c r="F44" s="20">
        <v>0</v>
      </c>
      <c r="G44" s="29" t="str">
        <f t="shared" si="22"/>
        <v>MenuValues[42]</v>
      </c>
      <c r="H44" s="29" t="s">
        <v>182</v>
      </c>
      <c r="I44" s="43" t="str">
        <f t="shared" si="2"/>
        <v xml:space="preserve">"Btn 9 Mode", </v>
      </c>
      <c r="J44" s="44" t="str">
        <f t="shared" si="3"/>
        <v xml:space="preserve">&amp;MenuValues[42], </v>
      </c>
      <c r="K44" s="44" t="str">
        <f t="shared" si="4"/>
        <v xml:space="preserve">&amp;setBtnMode, </v>
      </c>
      <c r="L44" s="40" t="str">
        <f t="shared" si="23"/>
        <v xml:space="preserve">  {"Btn 9 Mode", m_btn_mode, &amp;MenuValues[42], &amp;setBtnMode, 0, 3},</v>
      </c>
      <c r="M44" s="76" t="str">
        <f t="shared" si="6"/>
        <v xml:space="preserve">  0,  // Btn 9 Mode</v>
      </c>
      <c r="N44" s="11"/>
    </row>
    <row r="45" spans="1:14" x14ac:dyDescent="0.25">
      <c r="A45" s="21">
        <f t="shared" si="1"/>
        <v>43</v>
      </c>
      <c r="B45" s="1" t="s">
        <v>35</v>
      </c>
      <c r="C45" s="20" t="s">
        <v>172</v>
      </c>
      <c r="D45" s="20">
        <v>0</v>
      </c>
      <c r="E45" s="20">
        <v>3</v>
      </c>
      <c r="F45" s="20">
        <v>0</v>
      </c>
      <c r="G45" s="29" t="str">
        <f t="shared" si="22"/>
        <v>MenuValues[43]</v>
      </c>
      <c r="H45" s="29" t="s">
        <v>182</v>
      </c>
      <c r="I45" s="43" t="str">
        <f t="shared" si="2"/>
        <v xml:space="preserve">"Btn 10 Mode", </v>
      </c>
      <c r="J45" s="44" t="str">
        <f t="shared" si="3"/>
        <v xml:space="preserve">&amp;MenuValues[43], </v>
      </c>
      <c r="K45" s="44" t="str">
        <f t="shared" si="4"/>
        <v xml:space="preserve">&amp;setBtnMode, </v>
      </c>
      <c r="L45" s="40" t="str">
        <f t="shared" si="23"/>
        <v xml:space="preserve">  {"Btn 10 Mode", m_btn_mode, &amp;MenuValues[43], &amp;setBtnMode, 0, 3},</v>
      </c>
      <c r="M45" s="76" t="str">
        <f t="shared" si="6"/>
        <v xml:space="preserve">  0,  // Btn 10 Mode</v>
      </c>
      <c r="N45" s="11"/>
    </row>
    <row r="46" spans="1:14" x14ac:dyDescent="0.25">
      <c r="A46" s="21">
        <f t="shared" si="1"/>
        <v>44</v>
      </c>
      <c r="B46" s="1" t="s">
        <v>36</v>
      </c>
      <c r="C46" s="20" t="s">
        <v>172</v>
      </c>
      <c r="D46" s="20">
        <v>0</v>
      </c>
      <c r="E46" s="20">
        <v>3</v>
      </c>
      <c r="F46" s="20">
        <v>0</v>
      </c>
      <c r="G46" s="29" t="str">
        <f t="shared" si="22"/>
        <v>MenuValues[44]</v>
      </c>
      <c r="H46" s="29" t="s">
        <v>182</v>
      </c>
      <c r="I46" s="43" t="str">
        <f t="shared" si="2"/>
        <v xml:space="preserve">"Btn 11 Mode", </v>
      </c>
      <c r="J46" s="44" t="str">
        <f t="shared" si="3"/>
        <v xml:space="preserve">&amp;MenuValues[44], </v>
      </c>
      <c r="K46" s="44" t="str">
        <f t="shared" si="4"/>
        <v xml:space="preserve">&amp;setBtnMode, </v>
      </c>
      <c r="L46" s="40" t="str">
        <f t="shared" si="23"/>
        <v xml:space="preserve">  {"Btn 11 Mode", m_btn_mode, &amp;MenuValues[44], &amp;setBtnMode, 0, 3},</v>
      </c>
      <c r="M46" s="76" t="str">
        <f t="shared" si="6"/>
        <v xml:space="preserve">  0,  // Btn 11 Mode</v>
      </c>
      <c r="N46" s="11"/>
    </row>
    <row r="47" spans="1:14" x14ac:dyDescent="0.25">
      <c r="A47" s="21">
        <f t="shared" si="1"/>
        <v>45</v>
      </c>
      <c r="B47" s="1" t="s">
        <v>37</v>
      </c>
      <c r="C47" s="20" t="s">
        <v>172</v>
      </c>
      <c r="D47" s="20">
        <v>0</v>
      </c>
      <c r="E47" s="20">
        <v>3</v>
      </c>
      <c r="F47" s="20">
        <v>0</v>
      </c>
      <c r="G47" s="29" t="str">
        <f t="shared" si="22"/>
        <v>MenuValues[45]</v>
      </c>
      <c r="H47" s="29" t="s">
        <v>182</v>
      </c>
      <c r="I47" s="43" t="str">
        <f t="shared" si="2"/>
        <v xml:space="preserve">"Btn 12 Mode", </v>
      </c>
      <c r="J47" s="44" t="str">
        <f t="shared" si="3"/>
        <v xml:space="preserve">&amp;MenuValues[45], </v>
      </c>
      <c r="K47" s="44" t="str">
        <f t="shared" si="4"/>
        <v xml:space="preserve">&amp;setBtnMode, </v>
      </c>
      <c r="L47" s="40" t="str">
        <f t="shared" si="23"/>
        <v xml:space="preserve">  {"Btn 12 Mode", m_btn_mode, &amp;MenuValues[45], &amp;setBtnMode, 0, 3},</v>
      </c>
      <c r="M47" s="76" t="str">
        <f t="shared" si="6"/>
        <v xml:space="preserve">  0,  // Btn 12 Mode</v>
      </c>
      <c r="N47" s="11"/>
    </row>
    <row r="48" spans="1:14" x14ac:dyDescent="0.25">
      <c r="A48" s="21">
        <f t="shared" si="1"/>
        <v>46</v>
      </c>
      <c r="B48" s="1" t="s">
        <v>38</v>
      </c>
      <c r="C48" s="20" t="s">
        <v>172</v>
      </c>
      <c r="D48" s="20">
        <v>0</v>
      </c>
      <c r="E48" s="20">
        <v>3</v>
      </c>
      <c r="F48" s="20">
        <v>0</v>
      </c>
      <c r="G48" s="29" t="str">
        <f t="shared" si="22"/>
        <v>MenuValues[46]</v>
      </c>
      <c r="H48" s="29" t="s">
        <v>182</v>
      </c>
      <c r="I48" s="43" t="str">
        <f t="shared" si="2"/>
        <v xml:space="preserve">"Btn 13 Mode", </v>
      </c>
      <c r="J48" s="44" t="str">
        <f t="shared" si="3"/>
        <v xml:space="preserve">&amp;MenuValues[46], </v>
      </c>
      <c r="K48" s="44" t="str">
        <f t="shared" si="4"/>
        <v xml:space="preserve">&amp;setBtnMode, </v>
      </c>
      <c r="L48" s="40" t="str">
        <f t="shared" si="23"/>
        <v xml:space="preserve">  {"Btn 13 Mode", m_btn_mode, &amp;MenuValues[46], &amp;setBtnMode, 0, 3},</v>
      </c>
      <c r="M48" s="76" t="str">
        <f t="shared" si="6"/>
        <v xml:space="preserve">  0,  // Btn 13 Mode</v>
      </c>
      <c r="N48" s="11"/>
    </row>
    <row r="49" spans="1:14" x14ac:dyDescent="0.25">
      <c r="A49" s="21">
        <f t="shared" si="1"/>
        <v>47</v>
      </c>
      <c r="B49" s="1" t="s">
        <v>39</v>
      </c>
      <c r="C49" s="20" t="s">
        <v>172</v>
      </c>
      <c r="D49" s="20">
        <v>0</v>
      </c>
      <c r="E49" s="20">
        <v>3</v>
      </c>
      <c r="F49" s="20">
        <v>0</v>
      </c>
      <c r="G49" s="29" t="str">
        <f t="shared" si="22"/>
        <v>MenuValues[47]</v>
      </c>
      <c r="H49" s="29" t="s">
        <v>182</v>
      </c>
      <c r="I49" s="43" t="str">
        <f t="shared" si="2"/>
        <v xml:space="preserve">"Btn 14 Mode", </v>
      </c>
      <c r="J49" s="44" t="str">
        <f t="shared" si="3"/>
        <v xml:space="preserve">&amp;MenuValues[47], </v>
      </c>
      <c r="K49" s="44" t="str">
        <f t="shared" si="4"/>
        <v xml:space="preserve">&amp;setBtnMode, </v>
      </c>
      <c r="L49" s="40" t="str">
        <f t="shared" si="23"/>
        <v xml:space="preserve">  {"Btn 14 Mode", m_btn_mode, &amp;MenuValues[47], &amp;setBtnMode, 0, 3},</v>
      </c>
      <c r="M49" s="76" t="str">
        <f t="shared" si="6"/>
        <v xml:space="preserve">  0,  // Btn 14 Mode</v>
      </c>
      <c r="N49" s="11"/>
    </row>
    <row r="50" spans="1:14" x14ac:dyDescent="0.25">
      <c r="A50" s="21">
        <f t="shared" si="1"/>
        <v>48</v>
      </c>
      <c r="B50" s="1" t="s">
        <v>40</v>
      </c>
      <c r="C50" s="20" t="s">
        <v>172</v>
      </c>
      <c r="D50" s="20">
        <v>0</v>
      </c>
      <c r="E50" s="20">
        <v>3</v>
      </c>
      <c r="F50" s="20">
        <v>0</v>
      </c>
      <c r="G50" s="29" t="str">
        <f t="shared" si="22"/>
        <v>MenuValues[48]</v>
      </c>
      <c r="H50" s="29" t="s">
        <v>182</v>
      </c>
      <c r="I50" s="43" t="str">
        <f t="shared" si="2"/>
        <v xml:space="preserve">"Btn 15 Mode", </v>
      </c>
      <c r="J50" s="44" t="str">
        <f t="shared" si="3"/>
        <v xml:space="preserve">&amp;MenuValues[48], </v>
      </c>
      <c r="K50" s="44" t="str">
        <f t="shared" si="4"/>
        <v xml:space="preserve">&amp;setBtnMode, </v>
      </c>
      <c r="L50" s="40" t="str">
        <f t="shared" si="23"/>
        <v xml:space="preserve">  {"Btn 15 Mode", m_btn_mode, &amp;MenuValues[48], &amp;setBtnMode, 0, 3},</v>
      </c>
      <c r="M50" s="76" t="str">
        <f t="shared" si="6"/>
        <v xml:space="preserve">  0,  // Btn 15 Mode</v>
      </c>
      <c r="N50" s="11"/>
    </row>
    <row r="51" spans="1:14" x14ac:dyDescent="0.25">
      <c r="A51" s="21">
        <f t="shared" si="1"/>
        <v>49</v>
      </c>
      <c r="B51" s="1" t="s">
        <v>41</v>
      </c>
      <c r="C51" s="20" t="s">
        <v>172</v>
      </c>
      <c r="D51" s="20">
        <v>0</v>
      </c>
      <c r="E51" s="20">
        <v>3</v>
      </c>
      <c r="F51" s="20">
        <v>0</v>
      </c>
      <c r="G51" s="29" t="str">
        <f t="shared" si="22"/>
        <v>MenuValues[49]</v>
      </c>
      <c r="H51" s="29" t="s">
        <v>182</v>
      </c>
      <c r="I51" s="43" t="str">
        <f t="shared" si="2"/>
        <v xml:space="preserve">"Btn 16 Mode", </v>
      </c>
      <c r="J51" s="44" t="str">
        <f t="shared" si="3"/>
        <v xml:space="preserve">&amp;MenuValues[49], </v>
      </c>
      <c r="K51" s="44" t="str">
        <f t="shared" si="4"/>
        <v xml:space="preserve">&amp;setBtnMode, </v>
      </c>
      <c r="L51" s="40" t="str">
        <f t="shared" si="23"/>
        <v xml:space="preserve">  {"Btn 16 Mode", m_btn_mode, &amp;MenuValues[49], &amp;setBtnMode, 0, 3},</v>
      </c>
      <c r="M51" s="76" t="str">
        <f t="shared" si="6"/>
        <v xml:space="preserve">  0,  // Btn 16 Mode</v>
      </c>
      <c r="N51" s="11"/>
    </row>
    <row r="52" spans="1:14" x14ac:dyDescent="0.25">
      <c r="A52" s="21">
        <f t="shared" si="1"/>
        <v>50</v>
      </c>
      <c r="B52" s="13" t="s">
        <v>175</v>
      </c>
      <c r="C52" s="20" t="s">
        <v>172</v>
      </c>
      <c r="D52" s="61">
        <v>-1</v>
      </c>
      <c r="E52" s="61">
        <v>-1</v>
      </c>
      <c r="F52" s="61">
        <v>-1</v>
      </c>
      <c r="G52" s="29" t="s">
        <v>96</v>
      </c>
      <c r="H52" s="29" t="s">
        <v>96</v>
      </c>
      <c r="I52" s="43" t="str">
        <f t="shared" si="2"/>
        <v xml:space="preserve">"Btn Mode", </v>
      </c>
      <c r="J52" s="44" t="str">
        <f t="shared" si="3"/>
        <v xml:space="preserve">NULL, </v>
      </c>
      <c r="K52" s="44" t="str">
        <f t="shared" si="4"/>
        <v xml:space="preserve">NULL, </v>
      </c>
      <c r="L52" s="40" t="str">
        <f t="shared" si="23"/>
        <v xml:space="preserve">  {"Btn Mode", m_btn_mode, NULL, NULL, -1, -1},</v>
      </c>
      <c r="M52" s="76" t="str">
        <f t="shared" si="6"/>
        <v xml:space="preserve">  -1,  // Btn Mode</v>
      </c>
      <c r="N52" s="11"/>
    </row>
    <row r="53" spans="1:14" x14ac:dyDescent="0.25">
      <c r="A53" s="21">
        <f t="shared" si="1"/>
        <v>51</v>
      </c>
      <c r="B53" s="12" t="s">
        <v>4</v>
      </c>
      <c r="C53" s="20" t="s">
        <v>111</v>
      </c>
      <c r="D53" s="30">
        <v>0</v>
      </c>
      <c r="E53" s="12">
        <v>4</v>
      </c>
      <c r="F53" s="30">
        <v>1</v>
      </c>
      <c r="G53" s="29" t="str">
        <f>CONCATENATE("MenuValues[",A53,"]")</f>
        <v>MenuValues[51]</v>
      </c>
      <c r="H53" s="29" t="s">
        <v>176</v>
      </c>
      <c r="I53" s="43" t="str">
        <f t="shared" si="2"/>
        <v xml:space="preserve">"Kbd Driver", </v>
      </c>
      <c r="J53" s="44" t="str">
        <f t="shared" si="3"/>
        <v xml:space="preserve">&amp;MenuValues[51], </v>
      </c>
      <c r="K53" s="44" t="str">
        <f t="shared" si="4"/>
        <v xml:space="preserve">&amp;setKbdDriver, </v>
      </c>
      <c r="L53" s="40" t="str">
        <f t="shared" si="23"/>
        <v xml:space="preserve">  {"Kbd Driver", m_kbd_driver, &amp;MenuValues[51], &amp;setKbdDriver, 0, 4},</v>
      </c>
      <c r="M53" s="76" t="str">
        <f t="shared" si="6"/>
        <v xml:space="preserve">  1,  // Kbd Driver</v>
      </c>
      <c r="N53" s="11"/>
    </row>
    <row r="54" spans="1:14" x14ac:dyDescent="0.25">
      <c r="A54" s="21">
        <f t="shared" si="1"/>
        <v>52</v>
      </c>
      <c r="B54" s="1" t="s">
        <v>5</v>
      </c>
      <c r="C54" s="20" t="s">
        <v>111</v>
      </c>
      <c r="D54" s="20">
        <v>1</v>
      </c>
      <c r="E54" s="1">
        <v>30</v>
      </c>
      <c r="F54" s="20">
        <v>10</v>
      </c>
      <c r="G54" s="29" t="str">
        <f>CONCATENATE("MenuValues[",A54,"]")</f>
        <v>MenuValues[52]</v>
      </c>
      <c r="H54" s="36" t="s">
        <v>180</v>
      </c>
      <c r="I54" s="43" t="str">
        <f t="shared" si="2"/>
        <v xml:space="preserve">"Velocity Min", </v>
      </c>
      <c r="J54" s="44" t="str">
        <f t="shared" si="3"/>
        <v xml:space="preserve">&amp;MenuValues[52], </v>
      </c>
      <c r="K54" s="44" t="str">
        <f t="shared" si="4"/>
        <v xml:space="preserve">&amp;setDynSlope, </v>
      </c>
      <c r="L54" s="40" t="str">
        <f t="shared" si="23"/>
        <v xml:space="preserve">  {"Velocity Min", m_kbd_driver, &amp;MenuValues[52], &amp;setDynSlope, 1, 30},</v>
      </c>
      <c r="M54" s="76" t="str">
        <f t="shared" si="6"/>
        <v xml:space="preserve">  10,  // Velocity Min</v>
      </c>
      <c r="N54" s="11"/>
    </row>
    <row r="55" spans="1:14" x14ac:dyDescent="0.25">
      <c r="A55" s="21">
        <f t="shared" si="1"/>
        <v>53</v>
      </c>
      <c r="B55" s="1" t="s">
        <v>24</v>
      </c>
      <c r="C55" s="20" t="s">
        <v>111</v>
      </c>
      <c r="D55" s="20">
        <v>0</v>
      </c>
      <c r="E55" s="1">
        <v>20</v>
      </c>
      <c r="F55" s="20">
        <v>10</v>
      </c>
      <c r="G55" s="29" t="str">
        <f>CONCATENATE("MenuValues[",A55,"]")</f>
        <v>MenuValues[53]</v>
      </c>
      <c r="H55" s="29" t="s">
        <v>96</v>
      </c>
      <c r="I55" s="43" t="str">
        <f t="shared" si="2"/>
        <v xml:space="preserve">"Velocity MaxAdj", </v>
      </c>
      <c r="J55" s="44" t="str">
        <f t="shared" si="3"/>
        <v xml:space="preserve">&amp;MenuValues[53], </v>
      </c>
      <c r="K55" s="44" t="str">
        <f t="shared" si="4"/>
        <v xml:space="preserve">NULL, </v>
      </c>
      <c r="L55" s="40" t="str">
        <f t="shared" si="23"/>
        <v xml:space="preserve">  {"Velocity MaxAdj", m_kbd_driver, &amp;MenuValues[53], NULL, 0, 20},</v>
      </c>
      <c r="M55" s="76" t="str">
        <f t="shared" si="6"/>
        <v xml:space="preserve">  10,  // Velocity MaxAdj</v>
      </c>
      <c r="N55" s="11"/>
    </row>
    <row r="56" spans="1:14" x14ac:dyDescent="0.25">
      <c r="A56" s="21">
        <f t="shared" si="1"/>
        <v>54</v>
      </c>
      <c r="B56" s="1" t="s">
        <v>6</v>
      </c>
      <c r="C56" s="20" t="s">
        <v>111</v>
      </c>
      <c r="D56" s="20">
        <v>1</v>
      </c>
      <c r="E56" s="1">
        <v>40</v>
      </c>
      <c r="F56" s="20">
        <v>20</v>
      </c>
      <c r="G56" s="29" t="str">
        <f>CONCATENATE("MenuValues[",A56,"]")</f>
        <v>MenuValues[54]</v>
      </c>
      <c r="H56" s="36" t="s">
        <v>180</v>
      </c>
      <c r="I56" s="43" t="str">
        <f t="shared" si="2"/>
        <v xml:space="preserve">"Velocity Slope", </v>
      </c>
      <c r="J56" s="44" t="str">
        <f t="shared" si="3"/>
        <v xml:space="preserve">&amp;MenuValues[54], </v>
      </c>
      <c r="K56" s="44" t="str">
        <f t="shared" si="4"/>
        <v xml:space="preserve">&amp;setDynSlope, </v>
      </c>
      <c r="L56" s="40" t="str">
        <f t="shared" si="23"/>
        <v xml:space="preserve">  {"Velocity Slope", m_kbd_driver, &amp;MenuValues[54], &amp;setDynSlope, 1, 40},</v>
      </c>
      <c r="M56" s="76" t="str">
        <f t="shared" si="6"/>
        <v xml:space="preserve">  20,  // Velocity Slope</v>
      </c>
      <c r="N56" s="11"/>
    </row>
    <row r="57" spans="1:14" x14ac:dyDescent="0.25">
      <c r="A57" s="21">
        <f t="shared" ref="A57:A60" si="24">A56+1</f>
        <v>55</v>
      </c>
      <c r="B57" s="1" t="s">
        <v>13</v>
      </c>
      <c r="C57" s="20" t="s">
        <v>111</v>
      </c>
      <c r="D57" s="20">
        <v>12</v>
      </c>
      <c r="E57" s="1">
        <v>60</v>
      </c>
      <c r="F57" s="20">
        <v>36</v>
      </c>
      <c r="G57" s="29" t="str">
        <f t="shared" ref="G57:G60" si="25">CONCATENATE("MenuValues[",A57,"]")</f>
        <v>MenuValues[55]</v>
      </c>
      <c r="H57" s="29" t="s">
        <v>96</v>
      </c>
      <c r="I57" s="43" t="str">
        <f t="shared" ref="I57:I60" si="26">CONCATENATE("""",B57,""", ")</f>
        <v xml:space="preserve">"Upper Base", </v>
      </c>
      <c r="J57" s="44" t="str">
        <f t="shared" ref="J57:J60" si="27">IF(G57="NULL",CONCATENATE(G57,", "),CONCATENATE("&amp;",G57,", "))</f>
        <v xml:space="preserve">&amp;MenuValues[55], </v>
      </c>
      <c r="K57" s="44" t="str">
        <f t="shared" ref="K57:K60" si="28">IF(H57="NULL",CONCATENATE(H57,", "),CONCATENATE("&amp;",H57,", "))</f>
        <v xml:space="preserve">NULL, </v>
      </c>
      <c r="L57" s="40" t="str">
        <f t="shared" ref="L57:L60" si="29">CONCATENATE("  {",I57,C57,", ",J57,K57,D57,", ",E57,"},")</f>
        <v xml:space="preserve">  {"Upper Base", m_kbd_driver, &amp;MenuValues[55], NULL, 12, 60},</v>
      </c>
      <c r="M57" s="76" t="str">
        <f t="shared" ref="M57:M60" si="30" xml:space="preserve"> CONCATENATE("  ",F57,",  // ",B57)</f>
        <v xml:space="preserve">  36,  // Upper Base</v>
      </c>
      <c r="N57" s="11"/>
    </row>
    <row r="58" spans="1:14" x14ac:dyDescent="0.25">
      <c r="A58" s="21">
        <f t="shared" si="24"/>
        <v>56</v>
      </c>
      <c r="B58" s="1" t="s">
        <v>14</v>
      </c>
      <c r="C58" s="20" t="s">
        <v>111</v>
      </c>
      <c r="D58" s="20">
        <v>12</v>
      </c>
      <c r="E58" s="1">
        <v>60</v>
      </c>
      <c r="F58" s="20">
        <v>36</v>
      </c>
      <c r="G58" s="29" t="str">
        <f t="shared" si="25"/>
        <v>MenuValues[56]</v>
      </c>
      <c r="H58" s="29" t="s">
        <v>96</v>
      </c>
      <c r="I58" s="43" t="str">
        <f t="shared" si="26"/>
        <v xml:space="preserve">"Lower Base", </v>
      </c>
      <c r="J58" s="44" t="str">
        <f t="shared" si="27"/>
        <v xml:space="preserve">&amp;MenuValues[56], </v>
      </c>
      <c r="K58" s="44" t="str">
        <f t="shared" si="28"/>
        <v xml:space="preserve">NULL, </v>
      </c>
      <c r="L58" s="40" t="str">
        <f t="shared" si="29"/>
        <v xml:space="preserve">  {"Lower Base", m_kbd_driver, &amp;MenuValues[56], NULL, 12, 60},</v>
      </c>
      <c r="M58" s="76" t="str">
        <f t="shared" si="30"/>
        <v xml:space="preserve">  36,  // Lower Base</v>
      </c>
      <c r="N58" s="11"/>
    </row>
    <row r="59" spans="1:14" x14ac:dyDescent="0.25">
      <c r="A59" s="21">
        <f t="shared" si="24"/>
        <v>57</v>
      </c>
      <c r="B59" s="1" t="s">
        <v>15</v>
      </c>
      <c r="C59" s="20" t="s">
        <v>111</v>
      </c>
      <c r="D59" s="20">
        <v>12</v>
      </c>
      <c r="E59" s="1">
        <v>60</v>
      </c>
      <c r="F59" s="20">
        <v>36</v>
      </c>
      <c r="G59" s="29" t="str">
        <f t="shared" si="25"/>
        <v>MenuValues[57]</v>
      </c>
      <c r="H59" s="29" t="s">
        <v>96</v>
      </c>
      <c r="I59" s="43" t="str">
        <f t="shared" si="26"/>
        <v xml:space="preserve">"Pedal Base", </v>
      </c>
      <c r="J59" s="44" t="str">
        <f t="shared" si="27"/>
        <v xml:space="preserve">&amp;MenuValues[57], </v>
      </c>
      <c r="K59" s="44" t="str">
        <f t="shared" si="28"/>
        <v xml:space="preserve">NULL, </v>
      </c>
      <c r="L59" s="40" t="str">
        <f t="shared" si="29"/>
        <v xml:space="preserve">  {"Pedal Base", m_kbd_driver, &amp;MenuValues[57], NULL, 12, 60},</v>
      </c>
      <c r="M59" s="76" t="str">
        <f t="shared" si="30"/>
        <v xml:space="preserve">  36,  // Pedal Base</v>
      </c>
    </row>
    <row r="60" spans="1:14" x14ac:dyDescent="0.25">
      <c r="A60" s="21">
        <f t="shared" si="24"/>
        <v>58</v>
      </c>
      <c r="B60" s="13" t="s">
        <v>25</v>
      </c>
      <c r="C60" s="20" t="s">
        <v>111</v>
      </c>
      <c r="D60" s="61">
        <v>-1</v>
      </c>
      <c r="E60" s="61">
        <v>-1</v>
      </c>
      <c r="F60" s="61">
        <v>-1</v>
      </c>
      <c r="G60" s="29" t="str">
        <f t="shared" si="25"/>
        <v>MenuValues[58]</v>
      </c>
      <c r="H60" s="29" t="s">
        <v>96</v>
      </c>
      <c r="I60" s="43" t="str">
        <f t="shared" si="26"/>
        <v xml:space="preserve">"Keyboard", </v>
      </c>
      <c r="J60" s="44" t="str">
        <f t="shared" si="27"/>
        <v xml:space="preserve">&amp;MenuValues[58], </v>
      </c>
      <c r="K60" s="44" t="str">
        <f t="shared" si="28"/>
        <v xml:space="preserve">NULL, </v>
      </c>
      <c r="L60" s="40" t="str">
        <f t="shared" si="29"/>
        <v xml:space="preserve">  {"Keyboard", m_kbd_driver, &amp;MenuValues[58], NULL, -1, -1},</v>
      </c>
      <c r="M60" s="76" t="str">
        <f t="shared" si="30"/>
        <v xml:space="preserve">  -1,  // Keyboard</v>
      </c>
    </row>
    <row r="61" spans="1:14" x14ac:dyDescent="0.25">
      <c r="A61" s="77">
        <f>A60+1</f>
        <v>59</v>
      </c>
      <c r="G61" s="20"/>
      <c r="H61" s="20"/>
      <c r="I61" s="10"/>
      <c r="J61" s="9" t="s">
        <v>17</v>
      </c>
      <c r="K61" s="1" t="s">
        <v>17</v>
      </c>
      <c r="L61" s="40" t="s">
        <v>17</v>
      </c>
      <c r="M61" s="39" t="s">
        <v>17</v>
      </c>
    </row>
    <row r="62" spans="1:14" x14ac:dyDescent="0.25">
      <c r="A62" s="73" t="s">
        <v>163</v>
      </c>
      <c r="B62" s="20" t="s">
        <v>162</v>
      </c>
      <c r="C62" s="68" t="s">
        <v>161</v>
      </c>
      <c r="D62" s="61">
        <v>-1</v>
      </c>
      <c r="E62" s="61">
        <v>-1</v>
      </c>
      <c r="F62" s="61"/>
      <c r="G62" s="19" t="s">
        <v>160</v>
      </c>
      <c r="J62" s="10"/>
      <c r="L62" s="40" t="s">
        <v>178</v>
      </c>
      <c r="M62" s="76"/>
    </row>
    <row r="63" spans="1:14" x14ac:dyDescent="0.25">
      <c r="A63" s="73" t="s">
        <v>163</v>
      </c>
      <c r="B63" s="20" t="s">
        <v>162</v>
      </c>
      <c r="C63" s="68" t="s">
        <v>161</v>
      </c>
      <c r="D63" s="70">
        <v>0</v>
      </c>
      <c r="E63" s="70">
        <v>0</v>
      </c>
      <c r="F63" s="70"/>
      <c r="G63" s="19" t="s">
        <v>159</v>
      </c>
      <c r="L63" s="74" t="str">
        <f>CONCATENATE("#define MENU_POT_CC ",A14)</f>
        <v>#define MENU_POT_CC 12</v>
      </c>
      <c r="M63" s="76"/>
    </row>
    <row r="64" spans="1:14" x14ac:dyDescent="0.25">
      <c r="G64" s="39" t="str">
        <f>CONCATENATE("#define MENU_ITEMCOUNT ",A61)</f>
        <v>#define MENU_ITEMCOUNT 59</v>
      </c>
      <c r="H64" s="39"/>
      <c r="I64" s="6" t="s">
        <v>179</v>
      </c>
      <c r="L64" s="74" t="str">
        <f>CONCATENATE("#define MENU_BTN_CC ",A19)</f>
        <v>#define MENU_BTN_CC 17</v>
      </c>
      <c r="M64" s="76"/>
    </row>
    <row r="65" spans="12:13" x14ac:dyDescent="0.25">
      <c r="L65" s="74" t="str">
        <f>CONCATENATE("#define MENU_BTN_MODE ",A36)</f>
        <v>#define MENU_BTN_MODE 34</v>
      </c>
      <c r="M65" s="76"/>
    </row>
    <row r="66" spans="12:13" x14ac:dyDescent="0.25">
      <c r="L66" s="74" t="str">
        <f>CONCATENATE("#define MENU_KBD_DRIVER ",A53)</f>
        <v>#define MENU_KBD_DRIVER 51</v>
      </c>
      <c r="M66" s="76"/>
    </row>
    <row r="67" spans="12:13" x14ac:dyDescent="0.25">
      <c r="L67" s="74" t="str">
        <f>CONCATENATE("#define MENU_MIN_DYN ",A54)</f>
        <v>#define MENU_MIN_DYN 52</v>
      </c>
      <c r="M67" s="76"/>
    </row>
    <row r="68" spans="12:13" x14ac:dyDescent="0.25">
      <c r="L68" s="74" t="str">
        <f>CONCATENATE("#define MENU_MAX_DYNADJ ",A55)</f>
        <v>#define MENU_MAX_DYNADJ 53</v>
      </c>
      <c r="M68" s="76"/>
    </row>
    <row r="69" spans="12:13" x14ac:dyDescent="0.25">
      <c r="L69" s="74" t="str">
        <f>CONCATENATE("#define MENU_DYNSLOPE ",A56)</f>
        <v>#define MENU_DYNSLOPE 54</v>
      </c>
      <c r="M69" s="76"/>
    </row>
    <row r="70" spans="12:13" x14ac:dyDescent="0.25">
      <c r="L70" s="74" t="str">
        <f>CONCATENATE("#define MENU_BASE_UPR ",A57)</f>
        <v>#define MENU_BASE_UPR 55</v>
      </c>
      <c r="M70" s="76"/>
    </row>
    <row r="71" spans="12:13" x14ac:dyDescent="0.25">
      <c r="L71" s="74" t="str">
        <f>CONCATENATE("#define MENU_BASE_LWR ",A58)</f>
        <v>#define MENU_BASE_LWR 56</v>
      </c>
      <c r="M71" s="76"/>
    </row>
    <row r="72" spans="12:13" x14ac:dyDescent="0.25">
      <c r="L72" s="74" t="str">
        <f>CONCATENATE("#define MENU_BASE_PED ",A59)</f>
        <v>#define MENU_BASE_PED 57</v>
      </c>
      <c r="M72" s="7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L1" sqref="L1:L14"/>
    </sheetView>
  </sheetViews>
  <sheetFormatPr baseColWidth="10" defaultRowHeight="15" x14ac:dyDescent="0.25"/>
  <cols>
    <col min="1" max="1" width="6.28515625" style="73" customWidth="1"/>
    <col min="2" max="2" width="16.7109375" style="20" customWidth="1"/>
    <col min="3" max="3" width="15.5703125" style="17" customWidth="1"/>
    <col min="4" max="4" width="8.28515625" style="17" customWidth="1"/>
    <col min="5" max="5" width="12.5703125" style="17" customWidth="1"/>
    <col min="6" max="6" width="21.28515625" style="26" customWidth="1"/>
    <col min="7" max="7" width="22.140625" style="26" customWidth="1"/>
    <col min="8" max="8" width="21.28515625" style="20" customWidth="1"/>
    <col min="9" max="9" width="21.5703125" style="28" customWidth="1"/>
    <col min="10" max="10" width="23.140625" style="28" customWidth="1"/>
    <col min="11" max="11" width="94.28515625" style="20" customWidth="1"/>
    <col min="12" max="12" width="32.140625" style="25" customWidth="1"/>
    <col min="13" max="16384" width="11.42578125" style="25"/>
  </cols>
  <sheetData>
    <row r="1" spans="1:12" s="23" customFormat="1" ht="45.75" customHeight="1" x14ac:dyDescent="0.25">
      <c r="A1" s="71" t="s">
        <v>0</v>
      </c>
      <c r="B1" s="22" t="s">
        <v>23</v>
      </c>
      <c r="C1" s="54" t="s">
        <v>18</v>
      </c>
      <c r="D1" s="54" t="s">
        <v>19</v>
      </c>
      <c r="E1" s="54" t="s">
        <v>20</v>
      </c>
      <c r="F1" s="37" t="s">
        <v>113</v>
      </c>
      <c r="G1" s="37" t="s">
        <v>97</v>
      </c>
      <c r="H1" s="42" t="s">
        <v>144</v>
      </c>
      <c r="I1" s="42" t="s">
        <v>141</v>
      </c>
      <c r="J1" s="42" t="s">
        <v>142</v>
      </c>
      <c r="K1" s="24" t="s">
        <v>143</v>
      </c>
      <c r="L1" s="52" t="s">
        <v>16</v>
      </c>
    </row>
    <row r="2" spans="1:12" x14ac:dyDescent="0.25">
      <c r="A2" s="72">
        <v>0</v>
      </c>
      <c r="B2" s="48" t="s">
        <v>62</v>
      </c>
      <c r="C2" s="55" t="s">
        <v>148</v>
      </c>
      <c r="D2" s="17">
        <v>-1</v>
      </c>
      <c r="E2" s="56">
        <v>-1</v>
      </c>
      <c r="F2" s="29" t="s">
        <v>96</v>
      </c>
      <c r="G2" s="29" t="s">
        <v>96</v>
      </c>
      <c r="H2" s="43" t="str">
        <f>CONCATENATE("""",B2,""", ")</f>
        <v xml:space="preserve">"Upper DBs", </v>
      </c>
      <c r="I2" s="44" t="str">
        <f>IF(F2="NULL",CONCATENATE(F2,", "),CONCATENATE("&amp;",F2,", "))</f>
        <v xml:space="preserve">NULL, </v>
      </c>
      <c r="J2" s="44" t="str">
        <f>IF(G2="NULL",CONCATENATE(G2,", "),CONCATENATE("&amp;",G2,", "))</f>
        <v xml:space="preserve">NULL, </v>
      </c>
      <c r="K2" s="40" t="str">
        <f t="shared" ref="K2:K5" si="0">CONCATENATE("  {",H2,C2,", ",I2,J2,D2,", ",E2,"},")</f>
        <v xml:space="preserve">  {"Upper DBs", m_upper_db, NULL, NULL, -1, -1},</v>
      </c>
      <c r="L2" s="53" t="str">
        <f>CONCATENATE("  ",C2,",")</f>
        <v xml:space="preserve">  m_upper_db,</v>
      </c>
    </row>
    <row r="3" spans="1:12" x14ac:dyDescent="0.25">
      <c r="A3" s="72">
        <f t="shared" ref="A3:A54" si="1">A2+1</f>
        <v>1</v>
      </c>
      <c r="B3" s="48" t="s">
        <v>63</v>
      </c>
      <c r="C3" s="55" t="s">
        <v>149</v>
      </c>
      <c r="D3" s="17">
        <v>-1</v>
      </c>
      <c r="E3" s="56">
        <v>-1</v>
      </c>
      <c r="F3" s="29" t="s">
        <v>96</v>
      </c>
      <c r="G3" s="29" t="s">
        <v>96</v>
      </c>
      <c r="H3" s="43" t="str">
        <f t="shared" ref="H3:H52" si="2">CONCATENATE("""",B3,""", ")</f>
        <v xml:space="preserve">"Lower DBs", </v>
      </c>
      <c r="I3" s="44" t="str">
        <f t="shared" ref="I3:I52" si="3">IF(F3="NULL",CONCATENATE(F3,", "),CONCATENATE("&amp;",F3,", "))</f>
        <v xml:space="preserve">NULL, </v>
      </c>
      <c r="J3" s="44" t="str">
        <f t="shared" ref="J3:J52" si="4">IF(G3="NULL",CONCATENATE(G3,", "),CONCATENATE("&amp;",G3,", "))</f>
        <v xml:space="preserve">NULL, </v>
      </c>
      <c r="K3" s="40" t="str">
        <f t="shared" si="0"/>
        <v xml:space="preserve">  {"Lower DBs", m_lower_db, NULL, NULL, -1, -1},</v>
      </c>
      <c r="L3" s="53" t="str">
        <f t="shared" ref="L3:L13" si="5">CONCATENATE("  ",C3,",")</f>
        <v xml:space="preserve">  m_lower_db,</v>
      </c>
    </row>
    <row r="4" spans="1:12" x14ac:dyDescent="0.25">
      <c r="A4" s="72">
        <f t="shared" si="1"/>
        <v>2</v>
      </c>
      <c r="B4" s="48" t="s">
        <v>64</v>
      </c>
      <c r="C4" s="55" t="s">
        <v>150</v>
      </c>
      <c r="D4" s="17">
        <v>-1</v>
      </c>
      <c r="E4" s="56">
        <v>-1</v>
      </c>
      <c r="F4" s="29" t="s">
        <v>96</v>
      </c>
      <c r="G4" s="29" t="s">
        <v>96</v>
      </c>
      <c r="H4" s="43" t="str">
        <f t="shared" si="2"/>
        <v xml:space="preserve">"Pedal DBs", </v>
      </c>
      <c r="I4" s="44" t="str">
        <f t="shared" si="3"/>
        <v xml:space="preserve">NULL, </v>
      </c>
      <c r="J4" s="44" t="str">
        <f t="shared" si="4"/>
        <v xml:space="preserve">NULL, </v>
      </c>
      <c r="K4" s="40" t="str">
        <f t="shared" si="0"/>
        <v xml:space="preserve">  {"Pedal DBs", m_pedal_db, NULL, NULL, -1, -1},</v>
      </c>
      <c r="L4" s="53" t="str">
        <f t="shared" si="5"/>
        <v xml:space="preserve">  m_pedal_db,</v>
      </c>
    </row>
    <row r="5" spans="1:12" x14ac:dyDescent="0.25">
      <c r="A5" s="72">
        <f t="shared" si="1"/>
        <v>3</v>
      </c>
      <c r="B5" s="49" t="s">
        <v>114</v>
      </c>
      <c r="C5" s="57" t="s">
        <v>152</v>
      </c>
      <c r="D5" s="17">
        <v>0</v>
      </c>
      <c r="E5" s="17">
        <v>127</v>
      </c>
      <c r="F5" s="36" t="s">
        <v>165</v>
      </c>
      <c r="G5" s="29" t="s">
        <v>166</v>
      </c>
      <c r="H5" s="43" t="str">
        <f t="shared" si="2"/>
        <v xml:space="preserve">"Swell Pedal", </v>
      </c>
      <c r="I5" s="44" t="str">
        <f t="shared" si="3"/>
        <v xml:space="preserve">&amp;preamp.swell127, </v>
      </c>
      <c r="J5" s="44" t="str">
        <f t="shared" si="4"/>
        <v xml:space="preserve">&amp;sendMIDIswell, </v>
      </c>
      <c r="K5" s="40" t="str">
        <f t="shared" si="0"/>
        <v xml:space="preserve">  {"Swell Pedal", m_swell, &amp;preamp.swell127, &amp;sendMIDIswell, 0, 127},</v>
      </c>
      <c r="L5" s="53" t="str">
        <f t="shared" si="5"/>
        <v xml:space="preserve">  m_swell,</v>
      </c>
    </row>
    <row r="6" spans="1:12" x14ac:dyDescent="0.25">
      <c r="A6" s="72">
        <f t="shared" si="1"/>
        <v>4</v>
      </c>
      <c r="B6" s="49" t="s">
        <v>60</v>
      </c>
      <c r="C6" s="57" t="s">
        <v>153</v>
      </c>
      <c r="D6" s="16">
        <v>0</v>
      </c>
      <c r="E6" s="16">
        <v>127</v>
      </c>
      <c r="F6" s="36" t="s">
        <v>115</v>
      </c>
      <c r="G6" s="38" t="s">
        <v>147</v>
      </c>
      <c r="H6" s="43" t="str">
        <f t="shared" si="2"/>
        <v xml:space="preserve">"Master Volume", </v>
      </c>
      <c r="I6" s="44" t="str">
        <f t="shared" si="3"/>
        <v xml:space="preserve">&amp;preamp.masterVolume, </v>
      </c>
      <c r="J6" s="44" t="str">
        <f t="shared" si="4"/>
        <v xml:space="preserve">&amp;sendOrganVolumes, </v>
      </c>
      <c r="K6" s="40" t="str">
        <f>CONCATENATE("  {",H6,C6,", ",I6,J6,D6,", ",E6,"},")</f>
        <v xml:space="preserve">  {"Master Volume", m_volume, &amp;preamp.masterVolume, &amp;sendOrganVolumes, 0, 127},</v>
      </c>
      <c r="L6" s="53" t="str">
        <f t="shared" si="5"/>
        <v xml:space="preserve">  m_volume,</v>
      </c>
    </row>
    <row r="7" spans="1:12" x14ac:dyDescent="0.25">
      <c r="A7" s="72">
        <f t="shared" si="1"/>
        <v>5</v>
      </c>
      <c r="B7" s="31" t="s">
        <v>61</v>
      </c>
      <c r="C7" s="57" t="s">
        <v>154</v>
      </c>
      <c r="D7" s="16">
        <v>0</v>
      </c>
      <c r="E7" s="16">
        <v>127</v>
      </c>
      <c r="F7" s="36" t="s">
        <v>146</v>
      </c>
      <c r="G7" s="38" t="s">
        <v>145</v>
      </c>
      <c r="H7" s="43" t="str">
        <f t="shared" si="2"/>
        <v xml:space="preserve">"Amp Gain", </v>
      </c>
      <c r="I7" s="44" t="str">
        <f t="shared" si="3"/>
        <v xml:space="preserve">&amp;preamp.ampGain, </v>
      </c>
      <c r="J7" s="44" t="str">
        <f t="shared" si="4"/>
        <v xml:space="preserve">&amp;sendAmpVolume, </v>
      </c>
      <c r="K7" s="40" t="str">
        <f t="shared" ref="K7:K52" si="6">CONCATENATE("  {",H7,C7,", ",I7,J7,D7,", ",E7,"},")</f>
        <v xml:space="preserve">  {"Amp Gain", m_gain, &amp;preamp.ampGain, &amp;sendAmpVolume, 0, 127},</v>
      </c>
      <c r="L7" s="53" t="str">
        <f t="shared" si="5"/>
        <v xml:space="preserve">  m_gain,</v>
      </c>
    </row>
    <row r="8" spans="1:12" s="27" customFormat="1" x14ac:dyDescent="0.25">
      <c r="A8" s="72">
        <f t="shared" si="1"/>
        <v>6</v>
      </c>
      <c r="B8" s="31" t="s">
        <v>95</v>
      </c>
      <c r="C8" s="55" t="s">
        <v>151</v>
      </c>
      <c r="D8" s="16">
        <v>-1</v>
      </c>
      <c r="E8" s="27">
        <v>-1</v>
      </c>
      <c r="F8" s="29" t="s">
        <v>96</v>
      </c>
      <c r="G8" s="29" t="s">
        <v>96</v>
      </c>
      <c r="H8" s="43" t="str">
        <f t="shared" si="2"/>
        <v xml:space="preserve">"SD Flash Tools", </v>
      </c>
      <c r="I8" s="44" t="str">
        <f t="shared" si="3"/>
        <v xml:space="preserve">NULL, </v>
      </c>
      <c r="J8" s="44" t="str">
        <f t="shared" si="4"/>
        <v xml:space="preserve">NULL, </v>
      </c>
      <c r="K8" s="40" t="str">
        <f t="shared" si="6"/>
        <v xml:space="preserve">  {"SD Flash Tools", m_sd_card, NULL, NULL, -1, -1},</v>
      </c>
      <c r="L8" s="53" t="str">
        <f t="shared" si="5"/>
        <v xml:space="preserve">  m_sd_card,</v>
      </c>
    </row>
    <row r="9" spans="1:12" s="27" customFormat="1" x14ac:dyDescent="0.25">
      <c r="A9" s="72">
        <f t="shared" si="1"/>
        <v>7</v>
      </c>
      <c r="B9" s="48" t="s">
        <v>25</v>
      </c>
      <c r="C9" s="55" t="s">
        <v>111</v>
      </c>
      <c r="D9" s="17">
        <v>-1</v>
      </c>
      <c r="E9" s="58">
        <v>-1</v>
      </c>
      <c r="F9" s="29" t="s">
        <v>96</v>
      </c>
      <c r="G9" s="29" t="s">
        <v>96</v>
      </c>
      <c r="H9" s="43" t="str">
        <f t="shared" si="2"/>
        <v xml:space="preserve">"Keyboard", </v>
      </c>
      <c r="I9" s="44" t="str">
        <f t="shared" si="3"/>
        <v xml:space="preserve">NULL, </v>
      </c>
      <c r="J9" s="44" t="str">
        <f t="shared" si="4"/>
        <v xml:space="preserve">NULL, </v>
      </c>
      <c r="K9" s="40" t="str">
        <f t="shared" si="6"/>
        <v xml:space="preserve">  {"Keyboard", m_kbd_driver, NULL, NULL, -1, -1},</v>
      </c>
      <c r="L9" s="53" t="str">
        <f t="shared" si="5"/>
        <v xml:space="preserve">  m_kbd_driver,</v>
      </c>
    </row>
    <row r="10" spans="1:12" s="27" customFormat="1" x14ac:dyDescent="0.25">
      <c r="A10" s="72">
        <f t="shared" si="1"/>
        <v>8</v>
      </c>
      <c r="B10" s="48" t="s">
        <v>107</v>
      </c>
      <c r="C10" s="57" t="s">
        <v>155</v>
      </c>
      <c r="D10" s="17">
        <v>0</v>
      </c>
      <c r="E10" s="59">
        <v>15</v>
      </c>
      <c r="F10" s="29" t="s">
        <v>116</v>
      </c>
      <c r="G10" s="29" t="s">
        <v>108</v>
      </c>
      <c r="H10" s="43" t="str">
        <f t="shared" si="2"/>
        <v xml:space="preserve">"Organ Model", </v>
      </c>
      <c r="I10" s="44" t="str">
        <f t="shared" si="3"/>
        <v xml:space="preserve">&amp;tabs.organModel, </v>
      </c>
      <c r="J10" s="44" t="str">
        <f t="shared" si="4"/>
        <v xml:space="preserve">&amp;menuOrganModel, </v>
      </c>
      <c r="K10" s="40" t="str">
        <f t="shared" si="6"/>
        <v xml:space="preserve">  {"Organ Model", m_organ, &amp;tabs.organModel, &amp;menuOrganModel, 0, 15},</v>
      </c>
      <c r="L10" s="53" t="str">
        <f t="shared" si="5"/>
        <v xml:space="preserve">  m_organ,</v>
      </c>
    </row>
    <row r="11" spans="1:12" x14ac:dyDescent="0.25">
      <c r="A11" s="72">
        <f t="shared" si="1"/>
        <v>9</v>
      </c>
      <c r="B11" s="48" t="s">
        <v>109</v>
      </c>
      <c r="C11" s="57" t="s">
        <v>156</v>
      </c>
      <c r="D11" s="17">
        <v>0</v>
      </c>
      <c r="E11" s="59">
        <v>15</v>
      </c>
      <c r="F11" s="29" t="s">
        <v>118</v>
      </c>
      <c r="G11" s="29" t="s">
        <v>110</v>
      </c>
      <c r="H11" s="43" t="str">
        <f t="shared" si="2"/>
        <v xml:space="preserve">"Speaker Model", </v>
      </c>
      <c r="I11" s="44" t="str">
        <f t="shared" si="3"/>
        <v xml:space="preserve">&amp;tabs.speakerModel, </v>
      </c>
      <c r="J11" s="44" t="str">
        <f t="shared" si="4"/>
        <v xml:space="preserve">&amp;menuSpeakerModel, </v>
      </c>
      <c r="K11" s="40" t="str">
        <f t="shared" si="6"/>
        <v xml:space="preserve">  {"Speaker Model", m_speaker, &amp;tabs.speakerModel, &amp;menuSpeakerModel, 0, 15},</v>
      </c>
      <c r="L11" s="53" t="str">
        <f t="shared" si="5"/>
        <v xml:space="preserve">  m_speaker,</v>
      </c>
    </row>
    <row r="12" spans="1:12" x14ac:dyDescent="0.25">
      <c r="A12" s="72">
        <f t="shared" si="1"/>
        <v>10</v>
      </c>
      <c r="B12" s="48" t="s">
        <v>59</v>
      </c>
      <c r="C12" s="57" t="s">
        <v>157</v>
      </c>
      <c r="D12" s="17">
        <v>-1</v>
      </c>
      <c r="E12" s="17">
        <v>31</v>
      </c>
      <c r="F12" s="29" t="s">
        <v>96</v>
      </c>
      <c r="G12" s="29" t="s">
        <v>96</v>
      </c>
      <c r="H12" s="43" t="str">
        <f t="shared" si="2"/>
        <v xml:space="preserve">"Pitchwheel Pot", </v>
      </c>
      <c r="I12" s="44" t="str">
        <f t="shared" si="3"/>
        <v xml:space="preserve">NULL, </v>
      </c>
      <c r="J12" s="44" t="str">
        <f t="shared" si="4"/>
        <v xml:space="preserve">NULL, </v>
      </c>
      <c r="K12" s="40" t="str">
        <f t="shared" si="6"/>
        <v xml:space="preserve">  {"Pitchwheel Pot", m_pitchwheel, NULL, NULL, -1, 31},</v>
      </c>
      <c r="L12" s="53" t="str">
        <f t="shared" si="5"/>
        <v xml:space="preserve">  m_pitchwheel,</v>
      </c>
    </row>
    <row r="13" spans="1:12" x14ac:dyDescent="0.25">
      <c r="A13" s="72">
        <f t="shared" si="1"/>
        <v>11</v>
      </c>
      <c r="B13" s="66" t="s">
        <v>85</v>
      </c>
      <c r="C13" s="67" t="s">
        <v>112</v>
      </c>
      <c r="D13" s="56">
        <v>-1</v>
      </c>
      <c r="E13" s="56">
        <v>-1</v>
      </c>
      <c r="F13" s="29" t="s">
        <v>96</v>
      </c>
      <c r="G13" s="29" t="s">
        <v>96</v>
      </c>
      <c r="H13" s="43" t="str">
        <f t="shared" si="2"/>
        <v xml:space="preserve">"End", </v>
      </c>
      <c r="I13" s="44" t="str">
        <f t="shared" si="3"/>
        <v xml:space="preserve">NULL, </v>
      </c>
      <c r="J13" s="44" t="str">
        <f t="shared" si="4"/>
        <v xml:space="preserve">NULL, </v>
      </c>
      <c r="K13" s="40" t="str">
        <f t="shared" si="6"/>
        <v xml:space="preserve">  {"End", m_main_end, NULL, NULL, -1, -1},</v>
      </c>
      <c r="L13" s="53" t="str">
        <f t="shared" si="5"/>
        <v xml:space="preserve">  m_main_end,</v>
      </c>
    </row>
    <row r="14" spans="1:12" x14ac:dyDescent="0.25">
      <c r="A14" s="72">
        <f t="shared" si="1"/>
        <v>12</v>
      </c>
      <c r="B14" s="50" t="s">
        <v>65</v>
      </c>
      <c r="C14" s="55" t="s">
        <v>148</v>
      </c>
      <c r="D14" s="16">
        <v>0</v>
      </c>
      <c r="E14" s="16">
        <v>127</v>
      </c>
      <c r="F14" s="29" t="s">
        <v>117</v>
      </c>
      <c r="G14" s="29" t="s">
        <v>98</v>
      </c>
      <c r="H14" s="43" t="str">
        <f t="shared" si="2"/>
        <v xml:space="preserve">"Upper DB 16", </v>
      </c>
      <c r="I14" s="44" t="str">
        <f t="shared" si="3"/>
        <v xml:space="preserve">&amp;drawbars.upper[0], </v>
      </c>
      <c r="J14" s="44" t="str">
        <f t="shared" si="4"/>
        <v xml:space="preserve">&amp;fpga_send_upper_db, </v>
      </c>
      <c r="K14" s="40" t="str">
        <f t="shared" si="6"/>
        <v xml:space="preserve">  {"Upper DB 16", m_upper_db, &amp;drawbars.upper[0], &amp;fpga_send_upper_db, 0, 127},</v>
      </c>
      <c r="L14" s="53" t="s">
        <v>158</v>
      </c>
    </row>
    <row r="15" spans="1:12" x14ac:dyDescent="0.25">
      <c r="A15" s="72">
        <f t="shared" si="1"/>
        <v>13</v>
      </c>
      <c r="B15" s="51" t="s">
        <v>66</v>
      </c>
      <c r="C15" s="55" t="s">
        <v>148</v>
      </c>
      <c r="D15" s="16">
        <v>0</v>
      </c>
      <c r="E15" s="16">
        <v>127</v>
      </c>
      <c r="F15" s="29" t="s">
        <v>119</v>
      </c>
      <c r="G15" s="29" t="s">
        <v>98</v>
      </c>
      <c r="H15" s="43" t="str">
        <f t="shared" si="2"/>
        <v xml:space="preserve">"Upper DB 5 1/3", </v>
      </c>
      <c r="I15" s="44" t="str">
        <f t="shared" si="3"/>
        <v xml:space="preserve">&amp;drawbars.upper[1], </v>
      </c>
      <c r="J15" s="44" t="str">
        <f t="shared" si="4"/>
        <v xml:space="preserve">&amp;fpga_send_upper_db, </v>
      </c>
      <c r="K15" s="40" t="str">
        <f t="shared" si="6"/>
        <v xml:space="preserve">  {"Upper DB 5 1/3", m_upper_db, &amp;drawbars.upper[1], &amp;fpga_send_upper_db, 0, 127},</v>
      </c>
    </row>
    <row r="16" spans="1:12" s="27" customFormat="1" x14ac:dyDescent="0.25">
      <c r="A16" s="72">
        <f t="shared" si="1"/>
        <v>14</v>
      </c>
      <c r="B16" s="51" t="s">
        <v>67</v>
      </c>
      <c r="C16" s="55" t="s">
        <v>148</v>
      </c>
      <c r="D16" s="16">
        <v>0</v>
      </c>
      <c r="E16" s="16">
        <v>127</v>
      </c>
      <c r="F16" s="29" t="s">
        <v>120</v>
      </c>
      <c r="G16" s="29" t="s">
        <v>98</v>
      </c>
      <c r="H16" s="43" t="str">
        <f t="shared" si="2"/>
        <v xml:space="preserve">"Upper DB 8", </v>
      </c>
      <c r="I16" s="44" t="str">
        <f t="shared" si="3"/>
        <v xml:space="preserve">&amp;drawbars.upper[2], </v>
      </c>
      <c r="J16" s="44" t="str">
        <f t="shared" si="4"/>
        <v xml:space="preserve">&amp;fpga_send_upper_db, </v>
      </c>
      <c r="K16" s="40" t="str">
        <f t="shared" si="6"/>
        <v xml:space="preserve">  {"Upper DB 8", m_upper_db, &amp;drawbars.upper[2], &amp;fpga_send_upper_db, 0, 127},</v>
      </c>
    </row>
    <row r="17" spans="1:11" x14ac:dyDescent="0.25">
      <c r="A17" s="72">
        <f t="shared" si="1"/>
        <v>15</v>
      </c>
      <c r="B17" s="51" t="s">
        <v>68</v>
      </c>
      <c r="C17" s="55" t="s">
        <v>148</v>
      </c>
      <c r="D17" s="16">
        <v>0</v>
      </c>
      <c r="E17" s="16">
        <v>127</v>
      </c>
      <c r="F17" s="29" t="s">
        <v>121</v>
      </c>
      <c r="G17" s="29" t="s">
        <v>98</v>
      </c>
      <c r="H17" s="43" t="str">
        <f t="shared" si="2"/>
        <v xml:space="preserve">"Upper DB 4", </v>
      </c>
      <c r="I17" s="44" t="str">
        <f t="shared" si="3"/>
        <v xml:space="preserve">&amp;drawbars.upper[3], </v>
      </c>
      <c r="J17" s="44" t="str">
        <f t="shared" si="4"/>
        <v xml:space="preserve">&amp;fpga_send_upper_db, </v>
      </c>
      <c r="K17" s="40" t="str">
        <f t="shared" si="6"/>
        <v xml:space="preserve">  {"Upper DB 4", m_upper_db, &amp;drawbars.upper[3], &amp;fpga_send_upper_db, 0, 127},</v>
      </c>
    </row>
    <row r="18" spans="1:11" x14ac:dyDescent="0.25">
      <c r="A18" s="72">
        <f t="shared" si="1"/>
        <v>16</v>
      </c>
      <c r="B18" s="51" t="s">
        <v>69</v>
      </c>
      <c r="C18" s="55" t="s">
        <v>148</v>
      </c>
      <c r="D18" s="16">
        <v>0</v>
      </c>
      <c r="E18" s="16">
        <v>127</v>
      </c>
      <c r="F18" s="29" t="s">
        <v>122</v>
      </c>
      <c r="G18" s="29" t="s">
        <v>98</v>
      </c>
      <c r="H18" s="43" t="str">
        <f t="shared" si="2"/>
        <v xml:space="preserve">"Upper DB 2 2/3", </v>
      </c>
      <c r="I18" s="44" t="str">
        <f t="shared" si="3"/>
        <v xml:space="preserve">&amp;drawbars.upper[4], </v>
      </c>
      <c r="J18" s="44" t="str">
        <f t="shared" si="4"/>
        <v xml:space="preserve">&amp;fpga_send_upper_db, </v>
      </c>
      <c r="K18" s="40" t="str">
        <f t="shared" si="6"/>
        <v xml:space="preserve">  {"Upper DB 2 2/3", m_upper_db, &amp;drawbars.upper[4], &amp;fpga_send_upper_db, 0, 127},</v>
      </c>
    </row>
    <row r="19" spans="1:11" x14ac:dyDescent="0.25">
      <c r="A19" s="72">
        <f t="shared" si="1"/>
        <v>17</v>
      </c>
      <c r="B19" s="51" t="s">
        <v>70</v>
      </c>
      <c r="C19" s="55" t="s">
        <v>148</v>
      </c>
      <c r="D19" s="16">
        <v>0</v>
      </c>
      <c r="E19" s="16">
        <v>127</v>
      </c>
      <c r="F19" s="29" t="s">
        <v>123</v>
      </c>
      <c r="G19" s="29" t="s">
        <v>98</v>
      </c>
      <c r="H19" s="43" t="str">
        <f t="shared" si="2"/>
        <v xml:space="preserve">"Upper DB 2", </v>
      </c>
      <c r="I19" s="44" t="str">
        <f t="shared" si="3"/>
        <v xml:space="preserve">&amp;drawbars.upper[5], </v>
      </c>
      <c r="J19" s="44" t="str">
        <f t="shared" si="4"/>
        <v xml:space="preserve">&amp;fpga_send_upper_db, </v>
      </c>
      <c r="K19" s="40" t="str">
        <f t="shared" si="6"/>
        <v xml:space="preserve">  {"Upper DB 2", m_upper_db, &amp;drawbars.upper[5], &amp;fpga_send_upper_db, 0, 127},</v>
      </c>
    </row>
    <row r="20" spans="1:11" x14ac:dyDescent="0.25">
      <c r="A20" s="72">
        <f t="shared" si="1"/>
        <v>18</v>
      </c>
      <c r="B20" s="51" t="s">
        <v>71</v>
      </c>
      <c r="C20" s="55" t="s">
        <v>148</v>
      </c>
      <c r="D20" s="16">
        <v>0</v>
      </c>
      <c r="E20" s="16">
        <v>127</v>
      </c>
      <c r="F20" s="29" t="s">
        <v>124</v>
      </c>
      <c r="G20" s="29" t="s">
        <v>98</v>
      </c>
      <c r="H20" s="43" t="str">
        <f t="shared" si="2"/>
        <v xml:space="preserve">"Upper DB 1 3/5", </v>
      </c>
      <c r="I20" s="44" t="str">
        <f t="shared" si="3"/>
        <v xml:space="preserve">&amp;drawbars.upper[6], </v>
      </c>
      <c r="J20" s="44" t="str">
        <f t="shared" si="4"/>
        <v xml:space="preserve">&amp;fpga_send_upper_db, </v>
      </c>
      <c r="K20" s="40" t="str">
        <f t="shared" si="6"/>
        <v xml:space="preserve">  {"Upper DB 1 3/5", m_upper_db, &amp;drawbars.upper[6], &amp;fpga_send_upper_db, 0, 127},</v>
      </c>
    </row>
    <row r="21" spans="1:11" s="27" customFormat="1" x14ac:dyDescent="0.25">
      <c r="A21" s="72">
        <f t="shared" si="1"/>
        <v>19</v>
      </c>
      <c r="B21" s="51" t="s">
        <v>72</v>
      </c>
      <c r="C21" s="55" t="s">
        <v>148</v>
      </c>
      <c r="D21" s="16">
        <v>0</v>
      </c>
      <c r="E21" s="16">
        <v>127</v>
      </c>
      <c r="F21" s="29" t="s">
        <v>125</v>
      </c>
      <c r="G21" s="29" t="s">
        <v>98</v>
      </c>
      <c r="H21" s="43" t="str">
        <f t="shared" si="2"/>
        <v xml:space="preserve">"Upper DB 1 1/3", </v>
      </c>
      <c r="I21" s="44" t="str">
        <f t="shared" si="3"/>
        <v xml:space="preserve">&amp;drawbars.upper[7], </v>
      </c>
      <c r="J21" s="44" t="str">
        <f t="shared" si="4"/>
        <v xml:space="preserve">&amp;fpga_send_upper_db, </v>
      </c>
      <c r="K21" s="40" t="str">
        <f t="shared" si="6"/>
        <v xml:space="preserve">  {"Upper DB 1 1/3", m_upper_db, &amp;drawbars.upper[7], &amp;fpga_send_upper_db, 0, 127},</v>
      </c>
    </row>
    <row r="22" spans="1:11" x14ac:dyDescent="0.25">
      <c r="A22" s="72">
        <f t="shared" si="1"/>
        <v>20</v>
      </c>
      <c r="B22" s="51" t="s">
        <v>73</v>
      </c>
      <c r="C22" s="55" t="s">
        <v>148</v>
      </c>
      <c r="D22" s="16">
        <v>0</v>
      </c>
      <c r="E22" s="16">
        <v>127</v>
      </c>
      <c r="F22" s="29" t="s">
        <v>126</v>
      </c>
      <c r="G22" s="29" t="s">
        <v>98</v>
      </c>
      <c r="H22" s="43" t="str">
        <f t="shared" si="2"/>
        <v xml:space="preserve">"Upper DB 1", </v>
      </c>
      <c r="I22" s="44" t="str">
        <f t="shared" si="3"/>
        <v xml:space="preserve">&amp;drawbars.upper[8], </v>
      </c>
      <c r="J22" s="44" t="str">
        <f t="shared" si="4"/>
        <v xml:space="preserve">&amp;fpga_send_upper_db, </v>
      </c>
      <c r="K22" s="40" t="str">
        <f t="shared" si="6"/>
        <v xml:space="preserve">  {"Upper DB 1", m_upper_db, &amp;drawbars.upper[8], &amp;fpga_send_upper_db, 0, 127},</v>
      </c>
    </row>
    <row r="23" spans="1:11" x14ac:dyDescent="0.25">
      <c r="A23" s="72">
        <f t="shared" si="1"/>
        <v>21</v>
      </c>
      <c r="B23" s="65" t="s">
        <v>86</v>
      </c>
      <c r="C23" s="61" t="s">
        <v>148</v>
      </c>
      <c r="D23" s="27">
        <v>-1</v>
      </c>
      <c r="E23" s="27">
        <v>-1</v>
      </c>
      <c r="F23" s="29" t="s">
        <v>96</v>
      </c>
      <c r="G23" s="29" t="s">
        <v>96</v>
      </c>
      <c r="H23" s="43" t="str">
        <f t="shared" ref="H23" si="7">CONCATENATE("""",B23,""", ")</f>
        <v xml:space="preserve">"Upper DB", </v>
      </c>
      <c r="I23" s="44" t="str">
        <f t="shared" ref="I23" si="8">IF(F23="NULL",CONCATENATE(F23,", "),CONCATENATE("&amp;",F23,", "))</f>
        <v xml:space="preserve">NULL, </v>
      </c>
      <c r="J23" s="44" t="str">
        <f t="shared" ref="J23" si="9">IF(G23="NULL",CONCATENATE(G23,", "),CONCATENATE("&amp;",G23,", "))</f>
        <v xml:space="preserve">NULL, </v>
      </c>
      <c r="K23" s="40" t="str">
        <f t="shared" ref="K23" si="10">CONCATENATE("  {",H23,C23,", ",I23,J23,D23,", ",E23,"},")</f>
        <v xml:space="preserve">  {"Upper DB", m_upper_db, NULL, NULL, -1, -1},</v>
      </c>
    </row>
    <row r="24" spans="1:11" x14ac:dyDescent="0.25">
      <c r="A24" s="72">
        <f t="shared" si="1"/>
        <v>22</v>
      </c>
      <c r="B24" s="34" t="s">
        <v>74</v>
      </c>
      <c r="C24" s="55" t="s">
        <v>149</v>
      </c>
      <c r="D24" s="16">
        <v>0</v>
      </c>
      <c r="E24" s="16">
        <v>127</v>
      </c>
      <c r="F24" s="29" t="s">
        <v>127</v>
      </c>
      <c r="G24" s="29" t="s">
        <v>99</v>
      </c>
      <c r="H24" s="43" t="str">
        <f t="shared" si="2"/>
        <v xml:space="preserve">"Lower DB 16", </v>
      </c>
      <c r="I24" s="44" t="str">
        <f t="shared" si="3"/>
        <v xml:space="preserve">&amp;drawbars.lower[0], </v>
      </c>
      <c r="J24" s="44" t="str">
        <f t="shared" si="4"/>
        <v xml:space="preserve">&amp;fpga_send_lower_db, </v>
      </c>
      <c r="K24" s="40" t="str">
        <f t="shared" si="6"/>
        <v xml:space="preserve">  {"Lower DB 16", m_lower_db, &amp;drawbars.lower[0], &amp;fpga_send_lower_db, 0, 127},</v>
      </c>
    </row>
    <row r="25" spans="1:11" x14ac:dyDescent="0.25">
      <c r="A25" s="72">
        <f t="shared" si="1"/>
        <v>23</v>
      </c>
      <c r="B25" s="32" t="s">
        <v>75</v>
      </c>
      <c r="C25" s="55" t="s">
        <v>149</v>
      </c>
      <c r="D25" s="16">
        <v>0</v>
      </c>
      <c r="E25" s="16">
        <v>127</v>
      </c>
      <c r="F25" s="29" t="s">
        <v>128</v>
      </c>
      <c r="G25" s="29" t="s">
        <v>99</v>
      </c>
      <c r="H25" s="43" t="str">
        <f t="shared" si="2"/>
        <v xml:space="preserve">"Lower DB 5 1/3", </v>
      </c>
      <c r="I25" s="44" t="str">
        <f t="shared" si="3"/>
        <v xml:space="preserve">&amp;drawbars.lower[1], </v>
      </c>
      <c r="J25" s="44" t="str">
        <f t="shared" si="4"/>
        <v xml:space="preserve">&amp;fpga_send_lower_db, </v>
      </c>
      <c r="K25" s="40" t="str">
        <f t="shared" si="6"/>
        <v xml:space="preserve">  {"Lower DB 5 1/3", m_lower_db, &amp;drawbars.lower[1], &amp;fpga_send_lower_db, 0, 127},</v>
      </c>
    </row>
    <row r="26" spans="1:11" x14ac:dyDescent="0.25">
      <c r="A26" s="72">
        <f t="shared" si="1"/>
        <v>24</v>
      </c>
      <c r="B26" s="32" t="s">
        <v>76</v>
      </c>
      <c r="C26" s="55" t="s">
        <v>149</v>
      </c>
      <c r="D26" s="16">
        <v>0</v>
      </c>
      <c r="E26" s="16">
        <v>127</v>
      </c>
      <c r="F26" s="29" t="s">
        <v>129</v>
      </c>
      <c r="G26" s="29" t="s">
        <v>99</v>
      </c>
      <c r="H26" s="43" t="str">
        <f t="shared" si="2"/>
        <v xml:space="preserve">"Lower DB 8", </v>
      </c>
      <c r="I26" s="44" t="str">
        <f t="shared" si="3"/>
        <v xml:space="preserve">&amp;drawbars.lower[2], </v>
      </c>
      <c r="J26" s="44" t="str">
        <f t="shared" si="4"/>
        <v xml:space="preserve">&amp;fpga_send_lower_db, </v>
      </c>
      <c r="K26" s="40" t="str">
        <f t="shared" si="6"/>
        <v xml:space="preserve">  {"Lower DB 8", m_lower_db, &amp;drawbars.lower[2], &amp;fpga_send_lower_db, 0, 127},</v>
      </c>
    </row>
    <row r="27" spans="1:11" x14ac:dyDescent="0.25">
      <c r="A27" s="72">
        <f t="shared" si="1"/>
        <v>25</v>
      </c>
      <c r="B27" s="32" t="s">
        <v>77</v>
      </c>
      <c r="C27" s="55" t="s">
        <v>149</v>
      </c>
      <c r="D27" s="16">
        <v>0</v>
      </c>
      <c r="E27" s="16">
        <v>127</v>
      </c>
      <c r="F27" s="29" t="s">
        <v>130</v>
      </c>
      <c r="G27" s="29" t="s">
        <v>99</v>
      </c>
      <c r="H27" s="43" t="str">
        <f t="shared" si="2"/>
        <v xml:space="preserve">"Lower DB 4", </v>
      </c>
      <c r="I27" s="44" t="str">
        <f t="shared" si="3"/>
        <v xml:space="preserve">&amp;drawbars.lower[3], </v>
      </c>
      <c r="J27" s="44" t="str">
        <f t="shared" si="4"/>
        <v xml:space="preserve">&amp;fpga_send_lower_db, </v>
      </c>
      <c r="K27" s="40" t="str">
        <f t="shared" si="6"/>
        <v xml:space="preserve">  {"Lower DB 4", m_lower_db, &amp;drawbars.lower[3], &amp;fpga_send_lower_db, 0, 127},</v>
      </c>
    </row>
    <row r="28" spans="1:11" x14ac:dyDescent="0.25">
      <c r="A28" s="72">
        <f t="shared" si="1"/>
        <v>26</v>
      </c>
      <c r="B28" s="32" t="s">
        <v>78</v>
      </c>
      <c r="C28" s="55" t="s">
        <v>149</v>
      </c>
      <c r="D28" s="16">
        <v>0</v>
      </c>
      <c r="E28" s="16">
        <v>127</v>
      </c>
      <c r="F28" s="29" t="s">
        <v>131</v>
      </c>
      <c r="G28" s="29" t="s">
        <v>99</v>
      </c>
      <c r="H28" s="43" t="str">
        <f t="shared" si="2"/>
        <v xml:space="preserve">"Lower DB 2 2/3", </v>
      </c>
      <c r="I28" s="44" t="str">
        <f t="shared" si="3"/>
        <v xml:space="preserve">&amp;drawbars.lower[4], </v>
      </c>
      <c r="J28" s="44" t="str">
        <f t="shared" si="4"/>
        <v xml:space="preserve">&amp;fpga_send_lower_db, </v>
      </c>
      <c r="K28" s="40" t="str">
        <f t="shared" si="6"/>
        <v xml:space="preserve">  {"Lower DB 2 2/3", m_lower_db, &amp;drawbars.lower[4], &amp;fpga_send_lower_db, 0, 127},</v>
      </c>
    </row>
    <row r="29" spans="1:11" x14ac:dyDescent="0.25">
      <c r="A29" s="72">
        <f t="shared" si="1"/>
        <v>27</v>
      </c>
      <c r="B29" s="32" t="s">
        <v>79</v>
      </c>
      <c r="C29" s="55" t="s">
        <v>149</v>
      </c>
      <c r="D29" s="16">
        <v>0</v>
      </c>
      <c r="E29" s="16">
        <v>127</v>
      </c>
      <c r="F29" s="29" t="s">
        <v>132</v>
      </c>
      <c r="G29" s="29" t="s">
        <v>99</v>
      </c>
      <c r="H29" s="43" t="str">
        <f t="shared" si="2"/>
        <v xml:space="preserve">"Lower DB 2", </v>
      </c>
      <c r="I29" s="44" t="str">
        <f t="shared" si="3"/>
        <v xml:space="preserve">&amp;drawbars.lower[5], </v>
      </c>
      <c r="J29" s="44" t="str">
        <f t="shared" si="4"/>
        <v xml:space="preserve">&amp;fpga_send_lower_db, </v>
      </c>
      <c r="K29" s="40" t="str">
        <f t="shared" si="6"/>
        <v xml:space="preserve">  {"Lower DB 2", m_lower_db, &amp;drawbars.lower[5], &amp;fpga_send_lower_db, 0, 127},</v>
      </c>
    </row>
    <row r="30" spans="1:11" x14ac:dyDescent="0.25">
      <c r="A30" s="72">
        <f t="shared" si="1"/>
        <v>28</v>
      </c>
      <c r="B30" s="32" t="s">
        <v>80</v>
      </c>
      <c r="C30" s="55" t="s">
        <v>149</v>
      </c>
      <c r="D30" s="16">
        <v>0</v>
      </c>
      <c r="E30" s="16">
        <v>127</v>
      </c>
      <c r="F30" s="29" t="s">
        <v>133</v>
      </c>
      <c r="G30" s="29" t="s">
        <v>99</v>
      </c>
      <c r="H30" s="43" t="str">
        <f t="shared" si="2"/>
        <v xml:space="preserve">"Lower DB 1 3/5", </v>
      </c>
      <c r="I30" s="44" t="str">
        <f t="shared" si="3"/>
        <v xml:space="preserve">&amp;drawbars.lower[6], </v>
      </c>
      <c r="J30" s="44" t="str">
        <f t="shared" si="4"/>
        <v xml:space="preserve">&amp;fpga_send_lower_db, </v>
      </c>
      <c r="K30" s="40" t="str">
        <f t="shared" si="6"/>
        <v xml:space="preserve">  {"Lower DB 1 3/5", m_lower_db, &amp;drawbars.lower[6], &amp;fpga_send_lower_db, 0, 127},</v>
      </c>
    </row>
    <row r="31" spans="1:11" x14ac:dyDescent="0.25">
      <c r="A31" s="72">
        <f t="shared" si="1"/>
        <v>29</v>
      </c>
      <c r="B31" s="32" t="s">
        <v>81</v>
      </c>
      <c r="C31" s="55" t="s">
        <v>149</v>
      </c>
      <c r="D31" s="16">
        <v>0</v>
      </c>
      <c r="E31" s="16">
        <v>127</v>
      </c>
      <c r="F31" s="29" t="s">
        <v>134</v>
      </c>
      <c r="G31" s="29" t="s">
        <v>99</v>
      </c>
      <c r="H31" s="43" t="str">
        <f t="shared" si="2"/>
        <v xml:space="preserve">"Lower DB 1 1/3", </v>
      </c>
      <c r="I31" s="44" t="str">
        <f t="shared" si="3"/>
        <v xml:space="preserve">&amp;drawbars.lower[7], </v>
      </c>
      <c r="J31" s="44" t="str">
        <f t="shared" si="4"/>
        <v xml:space="preserve">&amp;fpga_send_lower_db, </v>
      </c>
      <c r="K31" s="40" t="str">
        <f t="shared" si="6"/>
        <v xml:space="preserve">  {"Lower DB 1 1/3", m_lower_db, &amp;drawbars.lower[7], &amp;fpga_send_lower_db, 0, 127},</v>
      </c>
    </row>
    <row r="32" spans="1:11" x14ac:dyDescent="0.25">
      <c r="A32" s="72">
        <f t="shared" si="1"/>
        <v>30</v>
      </c>
      <c r="B32" s="32" t="s">
        <v>82</v>
      </c>
      <c r="C32" s="55" t="s">
        <v>149</v>
      </c>
      <c r="D32" s="16">
        <v>0</v>
      </c>
      <c r="E32" s="16">
        <v>127</v>
      </c>
      <c r="F32" s="29" t="s">
        <v>135</v>
      </c>
      <c r="G32" s="29" t="s">
        <v>99</v>
      </c>
      <c r="H32" s="43" t="str">
        <f>CONCATENATE("""",B32,""", ")</f>
        <v xml:space="preserve">"Lower DB 1", </v>
      </c>
      <c r="I32" s="44" t="str">
        <f>IF(F32="NULL",CONCATENATE(F32,", "),CONCATENATE("&amp;",F32,", "))</f>
        <v xml:space="preserve">&amp;drawbars.lower[8], </v>
      </c>
      <c r="J32" s="44" t="str">
        <f>IF(G32="NULL",CONCATENATE(G32,", "),CONCATENATE("&amp;",G32,", "))</f>
        <v xml:space="preserve">&amp;fpga_send_lower_db, </v>
      </c>
      <c r="K32" s="40" t="str">
        <f>CONCATENATE("  {",H32,C32,", ",I32,J32,D32,", ",E32,"},")</f>
        <v xml:space="preserve">  {"Lower DB 1", m_lower_db, &amp;drawbars.lower[8], &amp;fpga_send_lower_db, 0, 127},</v>
      </c>
    </row>
    <row r="33" spans="1:11" x14ac:dyDescent="0.25">
      <c r="A33" s="72">
        <f t="shared" si="1"/>
        <v>31</v>
      </c>
      <c r="B33" s="62" t="s">
        <v>87</v>
      </c>
      <c r="C33" s="61" t="s">
        <v>149</v>
      </c>
      <c r="D33" s="27">
        <v>-1</v>
      </c>
      <c r="E33" s="27">
        <v>-1</v>
      </c>
      <c r="F33" s="29" t="s">
        <v>96</v>
      </c>
      <c r="G33" s="29" t="s">
        <v>96</v>
      </c>
      <c r="H33" s="43" t="str">
        <f>CONCATENATE("""",B33,""", ")</f>
        <v xml:space="preserve">"Lower DB", </v>
      </c>
      <c r="I33" s="44" t="str">
        <f>IF(F33="NULL",CONCATENATE(F33,", "),CONCATENATE("&amp;",F33,", "))</f>
        <v xml:space="preserve">NULL, </v>
      </c>
      <c r="J33" s="44" t="str">
        <f>IF(G33="NULL",CONCATENATE(G33,", "),CONCATENATE("&amp;",G33,", "))</f>
        <v xml:space="preserve">NULL, </v>
      </c>
      <c r="K33" s="40" t="str">
        <f>CONCATENATE("  {",H33,C33,", ",I33,J33,D33,", ",E33,"},")</f>
        <v xml:space="preserve">  {"Lower DB", m_lower_db, NULL, NULL, -1, -1},</v>
      </c>
    </row>
    <row r="34" spans="1:11" x14ac:dyDescent="0.25">
      <c r="A34" s="72">
        <f t="shared" si="1"/>
        <v>32</v>
      </c>
      <c r="B34" s="35" t="s">
        <v>83</v>
      </c>
      <c r="C34" s="55" t="s">
        <v>150</v>
      </c>
      <c r="D34" s="16">
        <v>0</v>
      </c>
      <c r="E34" s="16">
        <v>127</v>
      </c>
      <c r="F34" s="29" t="s">
        <v>136</v>
      </c>
      <c r="G34" s="29" t="s">
        <v>96</v>
      </c>
      <c r="H34" s="43" t="str">
        <f t="shared" si="2"/>
        <v xml:space="preserve">"Pedal DB 16", </v>
      </c>
      <c r="I34" s="44" t="str">
        <f t="shared" si="3"/>
        <v xml:space="preserve">&amp;drawbars.pedal[0], </v>
      </c>
      <c r="J34" s="44" t="str">
        <f t="shared" si="4"/>
        <v xml:space="preserve">NULL, </v>
      </c>
      <c r="K34" s="40" t="str">
        <f t="shared" si="6"/>
        <v xml:space="preserve">  {"Pedal DB 16", m_pedal_db, &amp;drawbars.pedal[0], NULL, 0, 127},</v>
      </c>
    </row>
    <row r="35" spans="1:11" x14ac:dyDescent="0.25">
      <c r="A35" s="72">
        <f t="shared" si="1"/>
        <v>33</v>
      </c>
      <c r="B35" s="33" t="s">
        <v>84</v>
      </c>
      <c r="C35" s="55" t="s">
        <v>150</v>
      </c>
      <c r="D35" s="16">
        <v>0</v>
      </c>
      <c r="E35" s="16">
        <v>127</v>
      </c>
      <c r="F35" s="29" t="s">
        <v>137</v>
      </c>
      <c r="G35" s="29" t="s">
        <v>96</v>
      </c>
      <c r="H35" s="43" t="str">
        <f t="shared" si="2"/>
        <v xml:space="preserve">"Pedal DB 8", </v>
      </c>
      <c r="I35" s="44" t="str">
        <f t="shared" si="3"/>
        <v xml:space="preserve">&amp;drawbars.pedal[1], </v>
      </c>
      <c r="J35" s="44" t="str">
        <f t="shared" si="4"/>
        <v xml:space="preserve">NULL, </v>
      </c>
      <c r="K35" s="40" t="str">
        <f t="shared" si="6"/>
        <v xml:space="preserve">  {"Pedal DB 8", m_pedal_db, &amp;drawbars.pedal[1], NULL, 0, 127},</v>
      </c>
    </row>
    <row r="36" spans="1:11" x14ac:dyDescent="0.25">
      <c r="A36" s="72">
        <f t="shared" si="1"/>
        <v>34</v>
      </c>
      <c r="B36" s="63" t="s">
        <v>88</v>
      </c>
      <c r="C36" s="61" t="s">
        <v>150</v>
      </c>
      <c r="D36" s="27">
        <v>-1</v>
      </c>
      <c r="E36" s="27">
        <v>-1</v>
      </c>
      <c r="F36" s="29" t="s">
        <v>96</v>
      </c>
      <c r="G36" s="29" t="s">
        <v>96</v>
      </c>
      <c r="H36" s="43" t="str">
        <f t="shared" ref="H36" si="11">CONCATENATE("""",B36,""", ")</f>
        <v xml:space="preserve">"Pedal DB", </v>
      </c>
      <c r="I36" s="44" t="str">
        <f t="shared" ref="I36" si="12">IF(F36="NULL",CONCATENATE(F36,", "),CONCATENATE("&amp;",F36,", "))</f>
        <v xml:space="preserve">NULL, </v>
      </c>
      <c r="J36" s="44" t="str">
        <f t="shared" ref="J36" si="13">IF(G36="NULL",CONCATENATE(G36,", "),CONCATENATE("&amp;",G36,", "))</f>
        <v xml:space="preserve">NULL, </v>
      </c>
      <c r="K36" s="40" t="str">
        <f t="shared" ref="K36" si="14">CONCATENATE("  {",H36,C36,", ",I36,J36,D36,", ",E36,"},")</f>
        <v xml:space="preserve">  {"Pedal DB", m_pedal_db, NULL, NULL, -1, -1},</v>
      </c>
    </row>
    <row r="37" spans="1:11" x14ac:dyDescent="0.25">
      <c r="A37" s="72">
        <f t="shared" si="1"/>
        <v>35</v>
      </c>
      <c r="B37" s="47" t="s">
        <v>105</v>
      </c>
      <c r="C37" s="55" t="s">
        <v>151</v>
      </c>
      <c r="D37" s="69">
        <v>0</v>
      </c>
      <c r="E37" s="69">
        <v>0</v>
      </c>
      <c r="F37" s="29" t="s">
        <v>96</v>
      </c>
      <c r="G37" s="29" t="s">
        <v>106</v>
      </c>
      <c r="H37" s="43" t="str">
        <f t="shared" si="2"/>
        <v xml:space="preserve">"SD Card Info", </v>
      </c>
      <c r="I37" s="44" t="str">
        <f t="shared" si="3"/>
        <v xml:space="preserve">NULL, </v>
      </c>
      <c r="J37" s="44" t="str">
        <f t="shared" si="4"/>
        <v xml:space="preserve">&amp;sdCardInfo, </v>
      </c>
      <c r="K37" s="40" t="str">
        <f t="shared" si="6"/>
        <v xml:space="preserve">  {"SD Card Info", m_sd_card, NULL, &amp;sdCardInfo, 0, 0},</v>
      </c>
    </row>
    <row r="38" spans="1:11" x14ac:dyDescent="0.25">
      <c r="A38" s="72">
        <f t="shared" si="1"/>
        <v>36</v>
      </c>
      <c r="B38" s="47" t="s">
        <v>89</v>
      </c>
      <c r="C38" s="55" t="s">
        <v>151</v>
      </c>
      <c r="D38" s="69">
        <v>0</v>
      </c>
      <c r="E38" s="69">
        <v>0</v>
      </c>
      <c r="F38" s="29" t="s">
        <v>96</v>
      </c>
      <c r="G38" s="29" t="s">
        <v>100</v>
      </c>
      <c r="H38" s="43" t="str">
        <f t="shared" si="2"/>
        <v xml:space="preserve">"Load SD Scan", </v>
      </c>
      <c r="I38" s="44" t="str">
        <f t="shared" si="3"/>
        <v xml:space="preserve">NULL, </v>
      </c>
      <c r="J38" s="44" t="str">
        <f t="shared" si="4"/>
        <v xml:space="preserve">&amp;loadScanDriver, </v>
      </c>
      <c r="K38" s="40" t="str">
        <f t="shared" si="6"/>
        <v xml:space="preserve">  {"Load SD Scan", m_sd_card, NULL, &amp;loadScanDriver, 0, 0},</v>
      </c>
    </row>
    <row r="39" spans="1:11" x14ac:dyDescent="0.25">
      <c r="A39" s="72">
        <f t="shared" si="1"/>
        <v>37</v>
      </c>
      <c r="B39" s="47" t="s">
        <v>90</v>
      </c>
      <c r="C39" s="55" t="s">
        <v>151</v>
      </c>
      <c r="D39" s="69">
        <v>0</v>
      </c>
      <c r="E39" s="69">
        <v>0</v>
      </c>
      <c r="F39" s="29" t="s">
        <v>96</v>
      </c>
      <c r="G39" s="38" t="s">
        <v>101</v>
      </c>
      <c r="H39" s="43" t="str">
        <f t="shared" si="2"/>
        <v xml:space="preserve">"Flash SD Scan", </v>
      </c>
      <c r="I39" s="44" t="str">
        <f t="shared" si="3"/>
        <v xml:space="preserve">NULL, </v>
      </c>
      <c r="J39" s="44" t="str">
        <f t="shared" si="4"/>
        <v xml:space="preserve">&amp;flashScanDriver, </v>
      </c>
      <c r="K39" s="40" t="str">
        <f t="shared" si="6"/>
        <v xml:space="preserve">  {"Flash SD Scan", m_sd_card, NULL, &amp;flashScanDriver, 0, 0},</v>
      </c>
    </row>
    <row r="40" spans="1:11" x14ac:dyDescent="0.25">
      <c r="A40" s="72">
        <f t="shared" si="1"/>
        <v>38</v>
      </c>
      <c r="B40" s="47" t="s">
        <v>91</v>
      </c>
      <c r="C40" s="55" t="s">
        <v>151</v>
      </c>
      <c r="D40" s="69">
        <v>0</v>
      </c>
      <c r="E40" s="69">
        <v>0</v>
      </c>
      <c r="F40" s="29" t="s">
        <v>96</v>
      </c>
      <c r="G40" s="38" t="s">
        <v>102</v>
      </c>
      <c r="H40" s="43" t="str">
        <f t="shared" si="2"/>
        <v xml:space="preserve">"Flash FPGA", </v>
      </c>
      <c r="I40" s="44" t="str">
        <f t="shared" si="3"/>
        <v xml:space="preserve">NULL, </v>
      </c>
      <c r="J40" s="44" t="str">
        <f t="shared" si="4"/>
        <v xml:space="preserve">&amp;flashFPGA, </v>
      </c>
      <c r="K40" s="40" t="str">
        <f t="shared" si="6"/>
        <v xml:space="preserve">  {"Flash FPGA", m_sd_card, NULL, &amp;flashFPGA, 0, 0},</v>
      </c>
    </row>
    <row r="41" spans="1:11" x14ac:dyDescent="0.25">
      <c r="A41" s="72">
        <f t="shared" si="1"/>
        <v>39</v>
      </c>
      <c r="B41" s="47" t="s">
        <v>94</v>
      </c>
      <c r="C41" s="55" t="s">
        <v>151</v>
      </c>
      <c r="D41" s="69">
        <v>0</v>
      </c>
      <c r="E41" s="69">
        <v>0</v>
      </c>
      <c r="F41" s="29" t="s">
        <v>96</v>
      </c>
      <c r="G41" s="38" t="s">
        <v>103</v>
      </c>
      <c r="H41" s="43" t="str">
        <f t="shared" si="2"/>
        <v xml:space="preserve">"Flash Other", </v>
      </c>
      <c r="I41" s="44" t="str">
        <f t="shared" si="3"/>
        <v xml:space="preserve">NULL, </v>
      </c>
      <c r="J41" s="44" t="str">
        <f t="shared" si="4"/>
        <v xml:space="preserve">&amp;flashOther, </v>
      </c>
      <c r="K41" s="40" t="str">
        <f t="shared" si="6"/>
        <v xml:space="preserve">  {"Flash Other", m_sd_card, NULL, &amp;flashOther, 0, 0},</v>
      </c>
    </row>
    <row r="42" spans="1:11" x14ac:dyDescent="0.25">
      <c r="A42" s="72">
        <f t="shared" si="1"/>
        <v>40</v>
      </c>
      <c r="B42" s="47" t="s">
        <v>92</v>
      </c>
      <c r="C42" s="55" t="s">
        <v>151</v>
      </c>
      <c r="D42" s="69">
        <v>0</v>
      </c>
      <c r="E42" s="69">
        <v>0</v>
      </c>
      <c r="F42" s="29" t="s">
        <v>96</v>
      </c>
      <c r="G42" s="29" t="s">
        <v>104</v>
      </c>
      <c r="H42" s="43" t="str">
        <f t="shared" si="2"/>
        <v xml:space="preserve">"Reload FPGA", </v>
      </c>
      <c r="I42" s="44" t="str">
        <f t="shared" si="3"/>
        <v xml:space="preserve">NULL, </v>
      </c>
      <c r="J42" s="44" t="str">
        <f t="shared" si="4"/>
        <v xml:space="preserve">&amp;organReset, </v>
      </c>
      <c r="K42" s="40" t="str">
        <f t="shared" si="6"/>
        <v xml:space="preserve">  {"Reload FPGA", m_sd_card, NULL, &amp;organReset, 0, 0},</v>
      </c>
    </row>
    <row r="43" spans="1:11" x14ac:dyDescent="0.25">
      <c r="A43" s="72">
        <f t="shared" si="1"/>
        <v>41</v>
      </c>
      <c r="B43" s="47" t="s">
        <v>93</v>
      </c>
      <c r="C43" s="55" t="s">
        <v>151</v>
      </c>
      <c r="D43" s="69">
        <v>0</v>
      </c>
      <c r="E43" s="69">
        <v>0</v>
      </c>
      <c r="F43" s="29" t="s">
        <v>96</v>
      </c>
      <c r="G43" s="29" t="s">
        <v>96</v>
      </c>
      <c r="H43" s="43" t="str">
        <f t="shared" si="2"/>
        <v xml:space="preserve">"Test", </v>
      </c>
      <c r="I43" s="44" t="str">
        <f t="shared" si="3"/>
        <v xml:space="preserve">NULL, </v>
      </c>
      <c r="J43" s="44" t="str">
        <f t="shared" si="4"/>
        <v xml:space="preserve">NULL, </v>
      </c>
      <c r="K43" s="40" t="str">
        <f t="shared" si="6"/>
        <v xml:space="preserve">  {"Test", m_sd_card, NULL, NULL, 0, 0},</v>
      </c>
    </row>
    <row r="44" spans="1:11" x14ac:dyDescent="0.25">
      <c r="A44" s="72">
        <f t="shared" si="1"/>
        <v>42</v>
      </c>
      <c r="B44" s="60" t="s">
        <v>105</v>
      </c>
      <c r="C44" s="61" t="s">
        <v>151</v>
      </c>
      <c r="D44" s="27">
        <v>-1</v>
      </c>
      <c r="E44" s="27">
        <v>-1</v>
      </c>
      <c r="F44" s="29" t="s">
        <v>96</v>
      </c>
      <c r="G44" s="29" t="s">
        <v>96</v>
      </c>
      <c r="H44" s="43" t="str">
        <f t="shared" ref="H44" si="15">CONCATENATE("""",B44,""", ")</f>
        <v xml:space="preserve">"SD Card Info", </v>
      </c>
      <c r="I44" s="44" t="str">
        <f t="shared" ref="I44" si="16">IF(F44="NULL",CONCATENATE(F44,", "),CONCATENATE("&amp;",F44,", "))</f>
        <v xml:space="preserve">NULL, </v>
      </c>
      <c r="J44" s="44" t="str">
        <f t="shared" ref="J44" si="17">IF(G44="NULL",CONCATENATE(G44,", "),CONCATENATE("&amp;",G44,", "))</f>
        <v xml:space="preserve">NULL, </v>
      </c>
      <c r="K44" s="40" t="str">
        <f t="shared" ref="K44" si="18">CONCATENATE("  {",H44,C44,", ",I44,J44,D44,", ",E44,"},")</f>
        <v xml:space="preserve">  {"SD Card Info", m_sd_card, NULL, NULL, -1, -1},</v>
      </c>
    </row>
    <row r="45" spans="1:11" x14ac:dyDescent="0.25">
      <c r="A45" s="72">
        <f t="shared" si="1"/>
        <v>43</v>
      </c>
      <c r="B45" s="45" t="s">
        <v>4</v>
      </c>
      <c r="C45" s="55" t="s">
        <v>111</v>
      </c>
      <c r="D45" s="17">
        <v>0</v>
      </c>
      <c r="E45" s="59" t="s">
        <v>22</v>
      </c>
      <c r="F45" s="29" t="s">
        <v>138</v>
      </c>
      <c r="G45" s="29" t="s">
        <v>96</v>
      </c>
      <c r="H45" s="43" t="str">
        <f t="shared" si="2"/>
        <v xml:space="preserve">"Kbd Driver", </v>
      </c>
      <c r="I45" s="44" t="str">
        <f t="shared" si="3"/>
        <v xml:space="preserve">&amp;boardInfo.scan_driverIdx, </v>
      </c>
      <c r="J45" s="44" t="str">
        <f t="shared" si="4"/>
        <v xml:space="preserve">NULL, </v>
      </c>
      <c r="K45" s="40" t="str">
        <f t="shared" si="6"/>
        <v xml:space="preserve">  {"Kbd Driver", m_kbd_driver, &amp;boardInfo.scan_driverIdx, NULL, 0, drv_custom},</v>
      </c>
    </row>
    <row r="46" spans="1:11" x14ac:dyDescent="0.25">
      <c r="A46" s="72">
        <f t="shared" si="1"/>
        <v>44</v>
      </c>
      <c r="B46" s="46" t="s">
        <v>5</v>
      </c>
      <c r="C46" s="55" t="s">
        <v>111</v>
      </c>
      <c r="D46" s="17">
        <v>1</v>
      </c>
      <c r="E46" s="17">
        <v>40</v>
      </c>
      <c r="F46" s="29" t="s">
        <v>96</v>
      </c>
      <c r="G46" s="29" t="s">
        <v>96</v>
      </c>
      <c r="H46" s="43" t="str">
        <f t="shared" si="2"/>
        <v xml:space="preserve">"Velocity Min", </v>
      </c>
      <c r="I46" s="44" t="str">
        <f t="shared" si="3"/>
        <v xml:space="preserve">NULL, </v>
      </c>
      <c r="J46" s="44" t="str">
        <f t="shared" si="4"/>
        <v xml:space="preserve">NULL, </v>
      </c>
      <c r="K46" s="40" t="str">
        <f t="shared" si="6"/>
        <v xml:space="preserve">  {"Velocity Min", m_kbd_driver, NULL, NULL, 1, 40},</v>
      </c>
    </row>
    <row r="47" spans="1:11" x14ac:dyDescent="0.25">
      <c r="A47" s="72">
        <f t="shared" si="1"/>
        <v>45</v>
      </c>
      <c r="B47" s="46" t="s">
        <v>24</v>
      </c>
      <c r="C47" s="55" t="s">
        <v>111</v>
      </c>
      <c r="D47" s="17">
        <v>1</v>
      </c>
      <c r="E47" s="17">
        <v>40</v>
      </c>
      <c r="F47" s="29" t="s">
        <v>96</v>
      </c>
      <c r="G47" s="29" t="s">
        <v>96</v>
      </c>
      <c r="H47" s="43" t="str">
        <f t="shared" si="2"/>
        <v xml:space="preserve">"Velocity MaxAdj", </v>
      </c>
      <c r="I47" s="44" t="str">
        <f t="shared" si="3"/>
        <v xml:space="preserve">NULL, </v>
      </c>
      <c r="J47" s="44" t="str">
        <f t="shared" si="4"/>
        <v xml:space="preserve">NULL, </v>
      </c>
      <c r="K47" s="40" t="str">
        <f t="shared" si="6"/>
        <v xml:space="preserve">  {"Velocity MaxAdj", m_kbd_driver, NULL, NULL, 1, 40},</v>
      </c>
    </row>
    <row r="48" spans="1:11" s="27" customFormat="1" x14ac:dyDescent="0.25">
      <c r="A48" s="72">
        <f t="shared" si="1"/>
        <v>46</v>
      </c>
      <c r="B48" s="46" t="s">
        <v>6</v>
      </c>
      <c r="C48" s="55" t="s">
        <v>111</v>
      </c>
      <c r="D48" s="17">
        <v>1</v>
      </c>
      <c r="E48" s="17">
        <v>30</v>
      </c>
      <c r="F48" s="29" t="s">
        <v>139</v>
      </c>
      <c r="G48" s="29" t="s">
        <v>96</v>
      </c>
      <c r="H48" s="43" t="str">
        <f t="shared" si="2"/>
        <v xml:space="preserve">"Velocity Slope", </v>
      </c>
      <c r="I48" s="44" t="str">
        <f t="shared" si="3"/>
        <v xml:space="preserve">&amp;organModel.fatarVelocityFac, </v>
      </c>
      <c r="J48" s="44" t="str">
        <f t="shared" si="4"/>
        <v xml:space="preserve">NULL, </v>
      </c>
      <c r="K48" s="40" t="str">
        <f t="shared" si="6"/>
        <v xml:space="preserve">  {"Velocity Slope", m_kbd_driver, &amp;organModel.fatarVelocityFac, NULL, 1, 30},</v>
      </c>
    </row>
    <row r="49" spans="1:11" s="27" customFormat="1" x14ac:dyDescent="0.25">
      <c r="A49" s="72">
        <f t="shared" si="1"/>
        <v>47</v>
      </c>
      <c r="B49" s="46" t="s">
        <v>164</v>
      </c>
      <c r="C49" s="55" t="s">
        <v>111</v>
      </c>
      <c r="D49" s="17">
        <v>1</v>
      </c>
      <c r="E49" s="17">
        <v>15</v>
      </c>
      <c r="F49" s="29" t="s">
        <v>140</v>
      </c>
      <c r="G49" s="29" t="s">
        <v>96</v>
      </c>
      <c r="H49" s="43" t="str">
        <f t="shared" ref="H49" si="19">CONCATENATE("""",B49,""", ")</f>
        <v xml:space="preserve">"MIDI Channel", </v>
      </c>
      <c r="I49" s="44" t="str">
        <f t="shared" ref="I49" si="20">IF(F49="NULL",CONCATENATE(F49,", "),CONCATENATE("&amp;",F49,", "))</f>
        <v xml:space="preserve">&amp;midiSettings.channel, </v>
      </c>
      <c r="J49" s="44" t="str">
        <f t="shared" ref="J49" si="21">IF(G49="NULL",CONCATENATE(G49,", "),CONCATENATE("&amp;",G49,", "))</f>
        <v xml:space="preserve">NULL, </v>
      </c>
      <c r="K49" s="40" t="str">
        <f t="shared" ref="K49" si="22">CONCATENATE("  {",H49,C49,", ",I49,J49,D49,", ",E49,"},")</f>
        <v xml:space="preserve">  {"MIDI Channel", m_kbd_driver, &amp;midiSettings.channel, NULL, 1, 15},</v>
      </c>
    </row>
    <row r="50" spans="1:11" x14ac:dyDescent="0.25">
      <c r="A50" s="72">
        <f t="shared" si="1"/>
        <v>48</v>
      </c>
      <c r="B50" s="46" t="s">
        <v>13</v>
      </c>
      <c r="C50" s="55" t="s">
        <v>111</v>
      </c>
      <c r="D50" s="17">
        <v>12</v>
      </c>
      <c r="E50" s="17">
        <v>60</v>
      </c>
      <c r="F50" s="29" t="s">
        <v>96</v>
      </c>
      <c r="G50" s="29" t="s">
        <v>96</v>
      </c>
      <c r="H50" s="43" t="str">
        <f t="shared" si="2"/>
        <v xml:space="preserve">"Upper Base", </v>
      </c>
      <c r="I50" s="44" t="str">
        <f t="shared" si="3"/>
        <v xml:space="preserve">NULL, </v>
      </c>
      <c r="J50" s="44" t="str">
        <f t="shared" si="4"/>
        <v xml:space="preserve">NULL, </v>
      </c>
      <c r="K50" s="40" t="str">
        <f t="shared" si="6"/>
        <v xml:space="preserve">  {"Upper Base", m_kbd_driver, NULL, NULL, 12, 60},</v>
      </c>
    </row>
    <row r="51" spans="1:11" x14ac:dyDescent="0.25">
      <c r="A51" s="72">
        <f t="shared" si="1"/>
        <v>49</v>
      </c>
      <c r="B51" s="46" t="s">
        <v>14</v>
      </c>
      <c r="C51" s="55" t="s">
        <v>111</v>
      </c>
      <c r="D51" s="17">
        <v>12</v>
      </c>
      <c r="E51" s="17">
        <v>60</v>
      </c>
      <c r="F51" s="29" t="s">
        <v>96</v>
      </c>
      <c r="G51" s="29" t="s">
        <v>96</v>
      </c>
      <c r="H51" s="43" t="str">
        <f t="shared" si="2"/>
        <v xml:space="preserve">"Lower Base", </v>
      </c>
      <c r="I51" s="44" t="str">
        <f t="shared" si="3"/>
        <v xml:space="preserve">NULL, </v>
      </c>
      <c r="J51" s="44" t="str">
        <f t="shared" si="4"/>
        <v xml:space="preserve">NULL, </v>
      </c>
      <c r="K51" s="40" t="str">
        <f t="shared" si="6"/>
        <v xml:space="preserve">  {"Lower Base", m_kbd_driver, NULL, NULL, 12, 60},</v>
      </c>
    </row>
    <row r="52" spans="1:11" x14ac:dyDescent="0.25">
      <c r="A52" s="72">
        <f t="shared" si="1"/>
        <v>50</v>
      </c>
      <c r="B52" s="46" t="s">
        <v>15</v>
      </c>
      <c r="C52" s="55" t="s">
        <v>111</v>
      </c>
      <c r="D52" s="17">
        <v>12</v>
      </c>
      <c r="E52" s="17">
        <v>60</v>
      </c>
      <c r="F52" s="29" t="s">
        <v>96</v>
      </c>
      <c r="G52" s="29" t="s">
        <v>96</v>
      </c>
      <c r="H52" s="43" t="str">
        <f t="shared" si="2"/>
        <v xml:space="preserve">"Pedal Base", </v>
      </c>
      <c r="I52" s="44" t="str">
        <f t="shared" si="3"/>
        <v xml:space="preserve">NULL, </v>
      </c>
      <c r="J52" s="44" t="str">
        <f t="shared" si="4"/>
        <v xml:space="preserve">NULL, </v>
      </c>
      <c r="K52" s="40" t="str">
        <f t="shared" si="6"/>
        <v xml:space="preserve">  {"Pedal Base", m_kbd_driver, NULL, NULL, 12, 60},</v>
      </c>
    </row>
    <row r="53" spans="1:11" x14ac:dyDescent="0.25">
      <c r="A53" s="72">
        <f t="shared" si="1"/>
        <v>51</v>
      </c>
      <c r="B53" s="64" t="s">
        <v>4</v>
      </c>
      <c r="C53" s="61" t="s">
        <v>111</v>
      </c>
      <c r="D53" s="56">
        <v>-1</v>
      </c>
      <c r="E53" s="56">
        <v>-1</v>
      </c>
      <c r="F53" s="29" t="s">
        <v>96</v>
      </c>
      <c r="G53" s="29" t="s">
        <v>96</v>
      </c>
      <c r="H53" s="43" t="str">
        <f t="shared" ref="H53" si="23">CONCATENATE("""",B53,""", ")</f>
        <v xml:space="preserve">"Kbd Driver", </v>
      </c>
      <c r="I53" s="44" t="str">
        <f t="shared" ref="I53" si="24">IF(F53="NULL",CONCATENATE(F53,", "),CONCATENATE("&amp;",F53,", "))</f>
        <v xml:space="preserve">NULL, </v>
      </c>
      <c r="J53" s="44" t="str">
        <f t="shared" ref="J53" si="25">IF(G53="NULL",CONCATENATE(G53,", "),CONCATENATE("&amp;",G53,", "))</f>
        <v xml:space="preserve">NULL, </v>
      </c>
      <c r="K53" s="40" t="str">
        <f t="shared" ref="K53" si="26">CONCATENATE("  {",H53,C53,", ",I53,J53,D53,", ",E53,"},")</f>
        <v xml:space="preserve">  {"Kbd Driver", m_kbd_driver, NULL, NULL, -1, -1},</v>
      </c>
    </row>
    <row r="54" spans="1:11" s="15" customFormat="1" x14ac:dyDescent="0.25">
      <c r="A54" s="61">
        <f t="shared" si="1"/>
        <v>52</v>
      </c>
      <c r="E54" s="18"/>
      <c r="F54" s="19"/>
      <c r="G54" s="19"/>
      <c r="H54" s="18"/>
      <c r="I54" s="41"/>
      <c r="J54" s="41"/>
      <c r="K54" s="18" t="s">
        <v>17</v>
      </c>
    </row>
    <row r="55" spans="1:11" x14ac:dyDescent="0.25">
      <c r="A55" s="73" t="s">
        <v>163</v>
      </c>
      <c r="B55" s="20" t="s">
        <v>162</v>
      </c>
      <c r="C55" s="55" t="s">
        <v>161</v>
      </c>
      <c r="D55" s="61">
        <v>-1</v>
      </c>
      <c r="E55" s="61">
        <v>-1</v>
      </c>
      <c r="F55" s="19" t="s">
        <v>160</v>
      </c>
    </row>
    <row r="56" spans="1:11" x14ac:dyDescent="0.25">
      <c r="A56" s="73" t="s">
        <v>163</v>
      </c>
      <c r="B56" s="20" t="s">
        <v>162</v>
      </c>
      <c r="C56" s="55" t="s">
        <v>161</v>
      </c>
      <c r="D56" s="70">
        <v>0</v>
      </c>
      <c r="E56" s="70">
        <v>0</v>
      </c>
      <c r="F56" s="19" t="s">
        <v>159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ScanController</vt:lpstr>
      <vt:lpstr>HX3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Meyer</dc:creator>
  <cp:lastModifiedBy>Carsten</cp:lastModifiedBy>
  <dcterms:created xsi:type="dcterms:W3CDTF">2026-02-08T08:40:39Z</dcterms:created>
  <dcterms:modified xsi:type="dcterms:W3CDTF">2026-03-06T10:26:15Z</dcterms:modified>
</cp:coreProperties>
</file>