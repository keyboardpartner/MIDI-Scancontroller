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60" windowWidth="30915" windowHeight="16425"/>
  </bookViews>
  <sheets>
    <sheet name="Tabelle1" sheetId="1" r:id="rId1"/>
  </sheets>
  <calcPr calcId="145621"/>
</workbook>
</file>

<file path=xl/calcChain.xml><?xml version="1.0" encoding="utf-8"?>
<calcChain xmlns="http://schemas.openxmlformats.org/spreadsheetml/2006/main">
  <c r="A8" i="1" l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C30" i="1"/>
  <c r="C31" i="1"/>
  <c r="C32" i="1"/>
  <c r="C33" i="1"/>
  <c r="C34" i="1"/>
  <c r="C35" i="1"/>
  <c r="C36" i="1"/>
  <c r="C37" i="1"/>
  <c r="C38" i="1"/>
  <c r="C39" i="1"/>
  <c r="C40" i="1"/>
  <c r="C41" i="1"/>
  <c r="A3" i="1"/>
  <c r="A4" i="1" s="1"/>
  <c r="A5" i="1" s="1"/>
  <c r="A6" i="1" s="1"/>
  <c r="A7" i="1" s="1"/>
  <c r="M31" i="1" l="1"/>
  <c r="H30" i="1"/>
  <c r="I30" i="1"/>
  <c r="J30" i="1"/>
  <c r="K30" i="1"/>
  <c r="L30" i="1"/>
  <c r="M30" i="1"/>
  <c r="H3" i="1"/>
  <c r="C2" i="1"/>
  <c r="H13" i="1" l="1"/>
  <c r="I13" i="1"/>
  <c r="J13" i="1"/>
  <c r="K13" i="1"/>
  <c r="L13" i="1"/>
  <c r="M13" i="1"/>
  <c r="K31" i="1"/>
  <c r="L31" i="1"/>
  <c r="J31" i="1"/>
  <c r="H31" i="1"/>
  <c r="I31" i="1"/>
  <c r="M2" i="1"/>
  <c r="L2" i="1"/>
  <c r="K2" i="1"/>
  <c r="J2" i="1"/>
  <c r="I2" i="1"/>
  <c r="H2" i="1"/>
  <c r="J14" i="1" l="1"/>
  <c r="H14" i="1"/>
  <c r="I14" i="1"/>
  <c r="M14" i="1"/>
  <c r="L14" i="1"/>
  <c r="K14" i="1"/>
  <c r="J32" i="1"/>
  <c r="I32" i="1"/>
  <c r="H32" i="1"/>
  <c r="M32" i="1"/>
  <c r="L32" i="1"/>
  <c r="K32" i="1"/>
  <c r="M3" i="1"/>
  <c r="L3" i="1"/>
  <c r="K3" i="1"/>
  <c r="J3" i="1"/>
  <c r="I3" i="1"/>
  <c r="H5" i="1"/>
  <c r="I5" i="1"/>
  <c r="J5" i="1"/>
  <c r="K5" i="1"/>
  <c r="L5" i="1"/>
  <c r="M5" i="1"/>
  <c r="M15" i="1" l="1"/>
  <c r="H15" i="1"/>
  <c r="J15" i="1"/>
  <c r="K15" i="1"/>
  <c r="L15" i="1"/>
  <c r="I15" i="1"/>
  <c r="I33" i="1"/>
  <c r="K33" i="1"/>
  <c r="M33" i="1"/>
  <c r="H33" i="1"/>
  <c r="J33" i="1"/>
  <c r="L33" i="1"/>
  <c r="M4" i="1"/>
  <c r="H4" i="1"/>
  <c r="I4" i="1"/>
  <c r="J4" i="1"/>
  <c r="K4" i="1"/>
  <c r="L4" i="1"/>
  <c r="C43" i="1"/>
  <c r="K16" i="1" l="1"/>
  <c r="L16" i="1"/>
  <c r="M16" i="1"/>
  <c r="H16" i="1"/>
  <c r="I16" i="1"/>
  <c r="J16" i="1"/>
  <c r="H34" i="1"/>
  <c r="I34" i="1"/>
  <c r="J34" i="1"/>
  <c r="K34" i="1"/>
  <c r="M34" i="1"/>
  <c r="L34" i="1"/>
  <c r="I17" i="1" l="1"/>
  <c r="K17" i="1"/>
  <c r="L17" i="1"/>
  <c r="J17" i="1"/>
  <c r="M17" i="1"/>
  <c r="H17" i="1"/>
  <c r="I35" i="1"/>
  <c r="M35" i="1"/>
  <c r="H35" i="1"/>
  <c r="J35" i="1"/>
  <c r="K35" i="1"/>
  <c r="L35" i="1"/>
  <c r="C29" i="1"/>
  <c r="I18" i="1" l="1"/>
  <c r="K18" i="1"/>
  <c r="L18" i="1"/>
  <c r="H18" i="1"/>
  <c r="J18" i="1"/>
  <c r="M18" i="1"/>
  <c r="J36" i="1"/>
  <c r="H36" i="1"/>
  <c r="I36" i="1"/>
  <c r="K36" i="1"/>
  <c r="L36" i="1"/>
  <c r="M36" i="1"/>
  <c r="C44" i="1"/>
  <c r="C46" i="1"/>
  <c r="C45" i="1"/>
  <c r="H19" i="1" l="1"/>
  <c r="I19" i="1"/>
  <c r="J19" i="1"/>
  <c r="K19" i="1"/>
  <c r="L19" i="1"/>
  <c r="M19" i="1"/>
  <c r="J37" i="1"/>
  <c r="K37" i="1"/>
  <c r="H37" i="1"/>
  <c r="M37" i="1"/>
  <c r="L37" i="1"/>
  <c r="I37" i="1"/>
  <c r="H8" i="1"/>
  <c r="I8" i="1"/>
  <c r="J8" i="1"/>
  <c r="K8" i="1"/>
  <c r="L8" i="1"/>
  <c r="M8" i="1"/>
  <c r="H20" i="1" l="1"/>
  <c r="I20" i="1"/>
  <c r="J20" i="1"/>
  <c r="L20" i="1"/>
  <c r="M20" i="1"/>
  <c r="K20" i="1"/>
  <c r="H38" i="1"/>
  <c r="K38" i="1"/>
  <c r="I38" i="1"/>
  <c r="J38" i="1"/>
  <c r="L38" i="1"/>
  <c r="M38" i="1"/>
  <c r="M10" i="1"/>
  <c r="M9" i="1"/>
  <c r="K21" i="1" l="1"/>
  <c r="M21" i="1"/>
  <c r="H21" i="1"/>
  <c r="I21" i="1"/>
  <c r="J21" i="1"/>
  <c r="L21" i="1"/>
  <c r="H39" i="1"/>
  <c r="I39" i="1"/>
  <c r="J39" i="1"/>
  <c r="K39" i="1"/>
  <c r="L39" i="1"/>
  <c r="M39" i="1"/>
  <c r="K9" i="1"/>
  <c r="M6" i="1"/>
  <c r="L6" i="1"/>
  <c r="H6" i="1"/>
  <c r="I6" i="1"/>
  <c r="J6" i="1"/>
  <c r="K6" i="1"/>
  <c r="H10" i="1"/>
  <c r="I10" i="1"/>
  <c r="J10" i="1"/>
  <c r="K10" i="1"/>
  <c r="L10" i="1"/>
  <c r="I9" i="1"/>
  <c r="H9" i="1"/>
  <c r="L9" i="1"/>
  <c r="J9" i="1"/>
  <c r="H22" i="1" l="1"/>
  <c r="I22" i="1"/>
  <c r="J22" i="1"/>
  <c r="K22" i="1"/>
  <c r="L22" i="1"/>
  <c r="M22" i="1"/>
  <c r="K40" i="1"/>
  <c r="H40" i="1"/>
  <c r="I40" i="1"/>
  <c r="J40" i="1"/>
  <c r="L40" i="1"/>
  <c r="M40" i="1"/>
  <c r="H11" i="1"/>
  <c r="I11" i="1"/>
  <c r="J11" i="1"/>
  <c r="K11" i="1"/>
  <c r="L11" i="1"/>
  <c r="M11" i="1"/>
  <c r="C28" i="1"/>
  <c r="C27" i="1"/>
  <c r="C26" i="1"/>
  <c r="H23" i="1" l="1"/>
  <c r="L23" i="1"/>
  <c r="M23" i="1"/>
  <c r="I23" i="1"/>
  <c r="J23" i="1"/>
  <c r="K23" i="1"/>
  <c r="H41" i="1"/>
  <c r="K41" i="1"/>
  <c r="L41" i="1"/>
  <c r="J41" i="1"/>
  <c r="M41" i="1"/>
  <c r="I41" i="1"/>
  <c r="H12" i="1"/>
  <c r="I12" i="1"/>
  <c r="J12" i="1"/>
  <c r="K12" i="1"/>
  <c r="L12" i="1"/>
  <c r="M12" i="1"/>
  <c r="L24" i="1" l="1"/>
  <c r="K24" i="1"/>
  <c r="J24" i="1"/>
  <c r="H24" i="1"/>
  <c r="I24" i="1"/>
  <c r="M24" i="1"/>
  <c r="H47" i="1"/>
  <c r="J47" i="1"/>
  <c r="K47" i="1"/>
  <c r="M47" i="1"/>
  <c r="I47" i="1"/>
  <c r="L47" i="1"/>
  <c r="J25" i="1"/>
  <c r="K25" i="1"/>
  <c r="L25" i="1"/>
  <c r="H25" i="1"/>
  <c r="I25" i="1"/>
  <c r="M25" i="1"/>
  <c r="M48" i="1" l="1"/>
  <c r="I48" i="1"/>
  <c r="L48" i="1"/>
  <c r="H48" i="1"/>
  <c r="J48" i="1"/>
  <c r="K48" i="1"/>
  <c r="H26" i="1"/>
  <c r="I26" i="1"/>
  <c r="J26" i="1"/>
  <c r="K26" i="1"/>
  <c r="L26" i="1"/>
  <c r="M26" i="1"/>
  <c r="H49" i="1" l="1"/>
  <c r="J49" i="1"/>
  <c r="L49" i="1"/>
  <c r="I49" i="1"/>
  <c r="K49" i="1"/>
  <c r="M49" i="1"/>
  <c r="M7" i="1"/>
  <c r="H7" i="1"/>
  <c r="I7" i="1"/>
  <c r="J7" i="1"/>
  <c r="K7" i="1"/>
  <c r="L7" i="1"/>
  <c r="H27" i="1"/>
  <c r="I27" i="1"/>
  <c r="J27" i="1"/>
  <c r="K27" i="1"/>
  <c r="L27" i="1"/>
  <c r="M27" i="1"/>
  <c r="L28" i="1" l="1"/>
  <c r="J28" i="1"/>
  <c r="K28" i="1"/>
  <c r="H28" i="1"/>
  <c r="I28" i="1"/>
  <c r="M28" i="1"/>
  <c r="H29" i="1" l="1"/>
  <c r="I29" i="1"/>
  <c r="J29" i="1"/>
  <c r="K29" i="1"/>
  <c r="L29" i="1"/>
  <c r="M29" i="1"/>
  <c r="H43" i="1" l="1"/>
  <c r="I43" i="1"/>
  <c r="J43" i="1"/>
  <c r="K43" i="1"/>
  <c r="L43" i="1"/>
  <c r="M43" i="1"/>
  <c r="H42" i="1"/>
  <c r="I42" i="1"/>
  <c r="J42" i="1"/>
  <c r="K42" i="1"/>
  <c r="L42" i="1"/>
  <c r="M42" i="1"/>
  <c r="H44" i="1" l="1"/>
  <c r="I44" i="1"/>
  <c r="J44" i="1"/>
  <c r="K44" i="1"/>
  <c r="L44" i="1"/>
  <c r="M44" i="1"/>
  <c r="H45" i="1" l="1"/>
  <c r="I45" i="1"/>
  <c r="J45" i="1"/>
  <c r="K45" i="1"/>
  <c r="L45" i="1"/>
  <c r="M45" i="1"/>
  <c r="H46" i="1" l="1"/>
  <c r="I46" i="1"/>
  <c r="J46" i="1"/>
  <c r="K46" i="1"/>
  <c r="L46" i="1"/>
  <c r="M46" i="1"/>
  <c r="J50" i="1" l="1"/>
  <c r="K50" i="1"/>
  <c r="L50" i="1"/>
  <c r="H50" i="1"/>
  <c r="I50" i="1"/>
  <c r="M50" i="1"/>
</calcChain>
</file>

<file path=xl/sharedStrings.xml><?xml version="1.0" encoding="utf-8"?>
<sst xmlns="http://schemas.openxmlformats.org/spreadsheetml/2006/main" count="129" uniqueCount="120">
  <si>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</si>
  <si>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</si>
  <si>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</si>
  <si>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</si>
  <si>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</si>
  <si>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</si>
  <si>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</si>
  <si>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</si>
  <si>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</si>
  <si>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</si>
  <si>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</si>
  <si>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</si>
  <si>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</si>
  <si>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>Button 1</t>
  </si>
  <si>
    <t>Button 2</t>
  </si>
  <si>
    <t>Button 3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</si>
  <si>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</si>
  <si>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</si>
  <si>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</si>
  <si>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</si>
  <si>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</si>
  <si>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</si>
  <si>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</si>
  <si>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</si>
  <si>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</si>
  <si>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</si>
  <si>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</si>
  <si>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</si>
  <si>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</si>
  <si>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</si>
  <si>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</si>
  <si>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</si>
  <si>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</si>
  <si>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</si>
  <si>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</si>
  <si>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</si>
  <si>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</si>
  <si>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</si>
  <si>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</si>
  <si>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</si>
  <si>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</si>
  <si>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</si>
  <si>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</si>
  <si>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</si>
  <si>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</si>
  <si>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</si>
  <si>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</si>
  <si>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</si>
  <si>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</si>
  <si>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</si>
  <si>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</si>
  <si>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</si>
  <si>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</si>
  <si>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</si>
  <si>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</si>
  <si>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</si>
  <si>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</si>
  <si>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</si>
  <si>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</si>
  <si>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</si>
  <si>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</si>
  <si>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</si>
  <si>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</si>
  <si>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</si>
  <si>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</si>
  <si>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</si>
  <si>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</si>
  <si>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</si>
  <si>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m_button_subm</t>
  </si>
  <si>
    <t>Button 4</t>
  </si>
  <si>
    <t>m_btn4</t>
  </si>
  <si>
    <t>Button 5</t>
  </si>
  <si>
    <t>m_btn5</t>
  </si>
  <si>
    <t>Button 6</t>
  </si>
  <si>
    <t>m_btn6</t>
  </si>
  <si>
    <t>Button 7</t>
  </si>
  <si>
    <t>m_btn7</t>
  </si>
  <si>
    <t>Button 8</t>
  </si>
  <si>
    <t>m_btn8</t>
  </si>
  <si>
    <t>Button 9</t>
  </si>
  <si>
    <t>m_btn9</t>
  </si>
  <si>
    <t>Button 10</t>
  </si>
  <si>
    <t>m_btn10</t>
  </si>
  <si>
    <t>Button 11</t>
  </si>
  <si>
    <t>m_btn11</t>
  </si>
  <si>
    <t>Button 12</t>
  </si>
  <si>
    <t>m_btn12</t>
  </si>
  <si>
    <t>Button 13</t>
  </si>
  <si>
    <t>m_btn13</t>
  </si>
  <si>
    <t>Button 14</t>
  </si>
  <si>
    <t>m_btn14</t>
  </si>
  <si>
    <t>Button 15</t>
  </si>
  <si>
    <t>m_btn15</t>
  </si>
  <si>
    <t>Button 16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</si>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</sst>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rgb="FFFF0000"/>
      <name val="Lucida Console"/>
      <family val="3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1"/>
      <color rgb="FFFF0000"/>
      <name val="Consolas"/>
      <family val="3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0" fontId="5" fillId="0" borderId="0" xfId="0" applyFont="1" applyFill="1" applyAlignment="1">
      <alignment horizontal="left"/>
    </xf>
    <xf numFmtId="0" fontId="11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2" fillId="2" borderId="0" xfId="0" applyNumberFormat="1" applyFont="1" applyFill="1" applyAlignment="1">
      <alignment horizontal="left" vertical="top" wrapText="1"/>
    </xf>
    <xf numFmtId="49" fontId="13" fillId="2" borderId="0" xfId="0" applyNumberFormat="1" applyFont="1" applyFill="1" applyAlignment="1">
      <alignment horizontal="left" vertical="top" wrapText="1"/>
    </xf>
    <xf numFmtId="49" fontId="5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17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Fill="1" applyAlignment="1">
      <alignment horizontal="left"/>
    </xf>
    <xf numFmtId="0" fontId="16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/>
    </xf>
    <xf numFmtId="0" fontId="14" fillId="0" borderId="0" xfId="0" applyFont="1" applyFill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9"/>
  <sheetViews>
    <sheetView tabSelected="1" workbookViewId="0">
      <selection activeCell="O35" sqref="O35"/>
    </sheetView>
  </sheetViews>
  <sheetFormatPr baseColWidth="10" defaultRowHeight="15" x14ac:dyDescent="0.25"/>
  <cols>
    <col min="1" max="1" width="10.28515625" style="6" customWidth="1"/>
    <col min="2" max="2" width="20.140625" style="2" customWidth="1"/>
    <col min="3" max="3" width="14.7109375" style="2" customWidth="1"/>
    <col min="4" max="5" width="12.5703125" style="2" customWidth="1"/>
    <col min="6" max="6" width="14.7109375" style="2" customWidth="1"/>
    <col min="7" max="7" width="19" style="15" customWidth="1"/>
    <col min="8" max="8" width="29.7109375" style="15" customWidth="1"/>
    <col min="9" max="9" width="36.5703125" style="2" customWidth="1"/>
    <col min="10" max="10" width="26" style="2" customWidth="1"/>
    <col min="11" max="12" width="22.85546875" style="15" customWidth="1"/>
    <col min="13" max="13" width="32.28515625" style="15" customWidth="1"/>
    <col min="14" max="16384" width="11.42578125" style="15"/>
  </cols>
  <sheetData>
    <row r="1" spans="1:15" s="10" customFormat="1" ht="45.75" customHeight="1" x14ac:dyDescent="0.3">
      <c r="A1" s="9" t="s">
        <v>0</v>
      </c>
      <c r="B1" s="9" t="s">
        <v>62</v>
      </c>
      <c r="C1" s="13" t="s">
        <v>25</v>
      </c>
      <c r="D1" s="13" t="s">
        <v>26</v>
      </c>
      <c r="E1" s="13" t="s">
        <v>27</v>
      </c>
      <c r="F1" s="13" t="s">
        <v>29</v>
      </c>
      <c r="G1" s="14" t="s">
        <v>42</v>
      </c>
      <c r="H1" s="11" t="s">
        <v>22</v>
      </c>
      <c r="I1" s="11" t="s">
        <v>16</v>
      </c>
      <c r="J1" s="11" t="s">
        <v>28</v>
      </c>
      <c r="K1" s="12" t="s">
        <v>30</v>
      </c>
      <c r="L1" s="12" t="s">
        <v>119</v>
      </c>
      <c r="M1" s="11" t="s">
        <v>24</v>
      </c>
      <c r="N1" s="20"/>
      <c r="O1" s="16"/>
    </row>
    <row r="2" spans="1:15" x14ac:dyDescent="0.25">
      <c r="A2" s="3">
        <v>0</v>
      </c>
      <c r="B2" s="2" t="s">
        <v>1</v>
      </c>
      <c r="C2" s="2">
        <f>A51</f>
        <v>0</v>
      </c>
      <c r="D2" s="2">
        <v>1</v>
      </c>
      <c r="E2" s="2">
        <v>16</v>
      </c>
      <c r="F2" s="2" t="s">
        <v>31</v>
      </c>
      <c r="G2" s="19" t="s">
        <v>43</v>
      </c>
      <c r="H2" s="22" t="str">
        <f t="shared" ref="H2:H3" si="0">CONCATENATE("  ",G2,", // #",A2," = ",B2,IF(C2&lt;0," EXIT ",""))</f>
        <v xml:space="preserve">  m_upper_channel, // #0 = Upper Channel</v>
      </c>
      <c r="I2" s="2" t="str">
        <f>CONCATENATE("  { """,B2,""" },  // #",A2," ",IF(C2&lt;0," EXIT SUBM",""))</f>
        <v xml:space="preserve">  { "Upper Channel" },  // #0 </v>
      </c>
      <c r="J2" s="22" t="str">
        <f t="shared" ref="J2" si="1">CONCATENATE("  ",D2,", // #",A2," = ",B2,IF(C2&lt;0," EXIT ",""))</f>
        <v xml:space="preserve">  1, // #0 = Upper Channel</v>
      </c>
      <c r="K2" s="22" t="str">
        <f t="shared" ref="K2" si="2">CONCATENATE("  ",E2,", // #",A2," = ",B2,IF(C2&lt;0," EXIT ",""))</f>
        <v xml:space="preserve">  16, // #0 = Upper Channel</v>
      </c>
      <c r="L2" s="22" t="str">
        <f t="shared" ref="L2" si="3">CONCATENATE("  ",F2,", // #",A2," = ",B2,IF(C2&lt;0," EXIT ",""))</f>
        <v xml:space="preserve">  MIDI_CH_UPR, // #0 = Upper Channel</v>
      </c>
      <c r="M2" s="22" t="str">
        <f t="shared" ref="M2" si="4">CONCATENATE("  ",C2,", // #",A2," = ",B2,IF(C2&lt;0," EXIT ",""))</f>
        <v xml:space="preserve">  0, // #0 = Upper Channel</v>
      </c>
      <c r="O2" s="16"/>
    </row>
    <row r="3" spans="1:15" x14ac:dyDescent="0.25">
      <c r="A3" s="3">
        <f t="shared" ref="A3:A50" si="5">A2+1</f>
        <v>1</v>
      </c>
      <c r="B3" s="2" t="s">
        <v>2</v>
      </c>
      <c r="C3" s="2">
        <v>0</v>
      </c>
      <c r="D3" s="2">
        <v>1</v>
      </c>
      <c r="E3" s="2">
        <v>16</v>
      </c>
      <c r="F3" s="2" t="s">
        <v>32</v>
      </c>
      <c r="G3" s="19" t="s">
        <v>44</v>
      </c>
      <c r="H3" s="22" t="str">
        <f t="shared" si="0"/>
        <v xml:space="preserve">  m_lower_channel, // #1 = Lower Channel</v>
      </c>
      <c r="I3" s="2" t="str">
        <f>CONCATENATE("  { """,B3,""" },  // #",A3," ",IF(C3&lt;0," EXIT SUBM",""))</f>
        <v xml:space="preserve">  { "Lower Channel" },  // #1 </v>
      </c>
      <c r="J3" s="22" t="str">
        <f t="shared" ref="J3:J26" si="6">CONCATENATE("  ",D3,", // #",A3," = ",B3,IF(C3&lt;0," EXIT ",""))</f>
        <v xml:space="preserve">  1, // #1 = Lower Channel</v>
      </c>
      <c r="K3" s="22" t="str">
        <f t="shared" ref="K3:K26" si="7">CONCATENATE("  ",E3,", // #",A3," = ",B3,IF(C3&lt;0," EXIT ",""))</f>
        <v xml:space="preserve">  16, // #1 = Lower Channel</v>
      </c>
      <c r="L3" s="22" t="str">
        <f t="shared" ref="L3:L26" si="8">CONCATENATE("  ",F3,", // #",A3," = ",B3,IF(C3&lt;0," EXIT ",""))</f>
        <v xml:space="preserve">  MIDI_CH_LWR, // #1 = Lower Channel</v>
      </c>
      <c r="M3" s="22" t="str">
        <f t="shared" ref="M3:M26" si="9">CONCATENATE("  ",C3,", // #",A3," = ",B3,IF(C3&lt;0," EXIT ",""))</f>
        <v xml:space="preserve">  0, // #1 = Lower Channel</v>
      </c>
      <c r="O3" s="16"/>
    </row>
    <row r="4" spans="1:15" x14ac:dyDescent="0.25">
      <c r="A4" s="3">
        <f t="shared" si="5"/>
        <v>2</v>
      </c>
      <c r="B4" s="2" t="s">
        <v>3</v>
      </c>
      <c r="C4" s="2">
        <v>0</v>
      </c>
      <c r="D4" s="2">
        <v>1</v>
      </c>
      <c r="E4" s="2">
        <v>16</v>
      </c>
      <c r="F4" s="2" t="s">
        <v>33</v>
      </c>
      <c r="G4" s="19" t="s">
        <v>45</v>
      </c>
      <c r="H4" s="22" t="str">
        <f t="shared" ref="H3:H26" si="10">CONCATENATE("  ",G4,", // #",A4," = ",B4,IF(C4&lt;0," EXIT ",""))</f>
        <v xml:space="preserve">  m_pedal_channel, // #2 = Pedal Channel</v>
      </c>
      <c r="I4" s="2" t="str">
        <f>CONCATENATE("  { """,B4,""" },  // #",A4," ",IF(C4&lt;0," EXIT SUBM",""))</f>
        <v xml:space="preserve">  { "Pedal Channel" },  // #2 </v>
      </c>
      <c r="J4" s="22" t="str">
        <f t="shared" si="6"/>
        <v xml:space="preserve">  1, // #2 = Pedal Channel</v>
      </c>
      <c r="K4" s="22" t="str">
        <f t="shared" si="7"/>
        <v xml:space="preserve">  16, // #2 = Pedal Channel</v>
      </c>
      <c r="L4" s="22" t="str">
        <f t="shared" si="8"/>
        <v xml:space="preserve">  MIDI_CH_PED, // #2 = Pedal Channel</v>
      </c>
      <c r="M4" s="22" t="str">
        <f t="shared" si="9"/>
        <v xml:space="preserve">  0, // #2 = Pedal Channel</v>
      </c>
      <c r="O4" s="16"/>
    </row>
    <row r="5" spans="1:15" s="17" customFormat="1" x14ac:dyDescent="0.25">
      <c r="A5" s="3">
        <f t="shared" si="5"/>
        <v>3</v>
      </c>
      <c r="B5" s="3" t="s">
        <v>64</v>
      </c>
      <c r="C5" s="3">
        <v>41</v>
      </c>
      <c r="D5" s="3">
        <v>0</v>
      </c>
      <c r="E5" s="23">
        <v>0</v>
      </c>
      <c r="F5" s="3" t="s">
        <v>34</v>
      </c>
      <c r="G5" s="24" t="s">
        <v>66</v>
      </c>
      <c r="H5" s="24" t="str">
        <f t="shared" si="10"/>
        <v xml:space="preserve">  m_kbd_subm, // #3 = Keyboard</v>
      </c>
      <c r="I5" s="3" t="str">
        <f>CONCATENATE("  { """,B5,""" },  // #",A5," ",IF(C5&lt;0," EXIT SUBM",""))</f>
        <v xml:space="preserve">  { "Keyboard" },  // #3 </v>
      </c>
      <c r="J5" s="24" t="str">
        <f t="shared" si="6"/>
        <v xml:space="preserve">  0, // #3 = Keyboard</v>
      </c>
      <c r="K5" s="24" t="str">
        <f t="shared" si="7"/>
        <v xml:space="preserve">  0, // #3 = Keyboard</v>
      </c>
      <c r="L5" s="24" t="str">
        <f t="shared" si="8"/>
        <v xml:space="preserve">  drv_fatar1, // #3 = Keyboard</v>
      </c>
      <c r="M5" s="24" t="str">
        <f t="shared" si="9"/>
        <v xml:space="preserve">  41, // #3 = Keyboard</v>
      </c>
      <c r="O5" s="16"/>
    </row>
    <row r="6" spans="1:15" s="17" customFormat="1" x14ac:dyDescent="0.25">
      <c r="A6" s="3">
        <f t="shared" si="5"/>
        <v>4</v>
      </c>
      <c r="B6" s="3" t="s">
        <v>7</v>
      </c>
      <c r="C6" s="3">
        <v>7</v>
      </c>
      <c r="D6" s="3">
        <v>0</v>
      </c>
      <c r="E6" s="3">
        <v>0</v>
      </c>
      <c r="F6" s="3">
        <v>0</v>
      </c>
      <c r="G6" s="24" t="s">
        <v>67</v>
      </c>
      <c r="H6" s="24" t="str">
        <f t="shared" si="10"/>
        <v xml:space="preserve">  m_cc_subm, // #4 = Pot Assign</v>
      </c>
      <c r="I6" s="3" t="str">
        <f>CONCATENATE("  { """,B6,""" },  // #",A6," ",IF(C6&lt;0," EXIT SUBM",""))</f>
        <v xml:space="preserve">  { "Pot Assign" },  // #4 </v>
      </c>
      <c r="J6" s="24" t="str">
        <f t="shared" si="6"/>
        <v xml:space="preserve">  0, // #4 = Pot Assign</v>
      </c>
      <c r="K6" s="24" t="str">
        <f t="shared" si="7"/>
        <v xml:space="preserve">  0, // #4 = Pot Assign</v>
      </c>
      <c r="L6" s="24" t="str">
        <f t="shared" si="8"/>
        <v xml:space="preserve">  0, // #4 = Pot Assign</v>
      </c>
      <c r="M6" s="24" t="str">
        <f t="shared" si="9"/>
        <v xml:space="preserve">  7, // #4 = Pot Assign</v>
      </c>
      <c r="O6" s="16"/>
    </row>
    <row r="7" spans="1:15" s="17" customFormat="1" x14ac:dyDescent="0.25">
      <c r="A7" s="3">
        <f t="shared" si="5"/>
        <v>5</v>
      </c>
      <c r="B7" s="3" t="s">
        <v>8</v>
      </c>
      <c r="C7" s="3">
        <v>24</v>
      </c>
      <c r="D7" s="3">
        <v>0</v>
      </c>
      <c r="E7" s="3">
        <v>0</v>
      </c>
      <c r="F7" s="3">
        <v>0</v>
      </c>
      <c r="G7" s="24" t="s">
        <v>68</v>
      </c>
      <c r="H7" s="24" t="str">
        <f t="shared" si="10"/>
        <v xml:space="preserve">  m_button_subm, // #5 = Button Assign</v>
      </c>
      <c r="I7" s="3" t="str">
        <f>CONCATENATE("  { """,B7,""" },  // #",A7," ",IF(C7&lt;0," EXIT SUBM",""))</f>
        <v xml:space="preserve">  { "Button Assign" },  // #5 </v>
      </c>
      <c r="J7" s="24" t="str">
        <f t="shared" si="6"/>
        <v xml:space="preserve">  0, // #5 = Button Assign</v>
      </c>
      <c r="K7" s="24" t="str">
        <f t="shared" si="7"/>
        <v xml:space="preserve">  0, // #5 = Button Assign</v>
      </c>
      <c r="L7" s="24" t="str">
        <f t="shared" si="8"/>
        <v xml:space="preserve">  0, // #5 = Button Assign</v>
      </c>
      <c r="M7" s="24" t="str">
        <f t="shared" si="9"/>
        <v xml:space="preserve">  24, // #5 = Button Assign</v>
      </c>
      <c r="O7" s="16"/>
    </row>
    <row r="8" spans="1:15" x14ac:dyDescent="0.25">
      <c r="A8" s="3">
        <f t="shared" si="5"/>
        <v>6</v>
      </c>
      <c r="B8" s="2" t="s">
        <v>21</v>
      </c>
      <c r="C8" s="2">
        <v>0</v>
      </c>
      <c r="D8" s="2">
        <v>0</v>
      </c>
      <c r="E8" s="2">
        <v>0</v>
      </c>
      <c r="F8" s="2">
        <v>0</v>
      </c>
      <c r="G8" s="19" t="s">
        <v>53</v>
      </c>
      <c r="H8" s="22" t="str">
        <f t="shared" si="10"/>
        <v xml:space="preserve">  m_end, // #6 = (end)</v>
      </c>
      <c r="I8" s="2" t="str">
        <f>CONCATENATE("  { """,B8,""" },  // #",A8," ",IF(C8&lt;0," EXIT SUBM",""))</f>
        <v xml:space="preserve">  { "(end)" },  // #6 </v>
      </c>
      <c r="J8" s="22" t="str">
        <f t="shared" si="6"/>
        <v xml:space="preserve">  0, // #6 = (end)</v>
      </c>
      <c r="K8" s="22" t="str">
        <f t="shared" si="7"/>
        <v xml:space="preserve">  0, // #6 = (end)</v>
      </c>
      <c r="L8" s="22" t="str">
        <f t="shared" si="8"/>
        <v xml:space="preserve">  0, // #6 = (end)</v>
      </c>
      <c r="M8" s="22" t="str">
        <f t="shared" si="9"/>
        <v xml:space="preserve">  0, // #6 = (end)</v>
      </c>
      <c r="O8" s="16"/>
    </row>
    <row r="9" spans="1:15" x14ac:dyDescent="0.25">
      <c r="A9" s="3">
        <f t="shared" si="5"/>
        <v>7</v>
      </c>
      <c r="B9" s="2" t="s">
        <v>9</v>
      </c>
      <c r="C9" s="2">
        <v>0</v>
      </c>
      <c r="D9" s="2">
        <v>-1</v>
      </c>
      <c r="E9" s="2">
        <v>127</v>
      </c>
      <c r="F9" s="2">
        <v>7</v>
      </c>
      <c r="G9" s="19" t="s">
        <v>54</v>
      </c>
      <c r="H9" s="22" t="str">
        <f t="shared" si="10"/>
        <v xml:space="preserve">  m_CC1, // #7 = Pot 1 CC</v>
      </c>
      <c r="I9" s="2" t="str">
        <f>CONCATENATE("  { """,B9,""" },  // #",A9," ",IF(C9&lt;0," EXIT SUBM",""))</f>
        <v xml:space="preserve">  { "Pot 1 CC" },  // #7 </v>
      </c>
      <c r="J9" s="22" t="str">
        <f t="shared" si="6"/>
        <v xml:space="preserve">  -1, // #7 = Pot 1 CC</v>
      </c>
      <c r="K9" s="22" t="str">
        <f t="shared" si="7"/>
        <v xml:space="preserve">  127, // #7 = Pot 1 CC</v>
      </c>
      <c r="L9" s="22" t="str">
        <f t="shared" si="8"/>
        <v xml:space="preserve">  7, // #7 = Pot 1 CC</v>
      </c>
      <c r="M9" s="22" t="str">
        <f t="shared" si="9"/>
        <v xml:space="preserve">  0, // #7 = Pot 1 CC</v>
      </c>
      <c r="O9" s="16"/>
    </row>
    <row r="10" spans="1:15" x14ac:dyDescent="0.25">
      <c r="A10" s="3">
        <f t="shared" si="5"/>
        <v>8</v>
      </c>
      <c r="B10" s="2" t="s">
        <v>10</v>
      </c>
      <c r="C10" s="2">
        <v>0</v>
      </c>
      <c r="D10" s="2">
        <v>-1</v>
      </c>
      <c r="E10" s="2">
        <v>127</v>
      </c>
      <c r="F10" s="2">
        <v>10</v>
      </c>
      <c r="G10" s="19" t="s">
        <v>55</v>
      </c>
      <c r="H10" s="22" t="str">
        <f t="shared" si="10"/>
        <v xml:space="preserve">  m_CC2, // #8 = Pot 2 CC</v>
      </c>
      <c r="I10" s="2" t="str">
        <f>CONCATENATE("  { """,B10,""" },  // #",A10," ",IF(C10&lt;0," EXIT SUBM",""))</f>
        <v xml:space="preserve">  { "Pot 2 CC" },  // #8 </v>
      </c>
      <c r="J10" s="22" t="str">
        <f t="shared" si="6"/>
        <v xml:space="preserve">  -1, // #8 = Pot 2 CC</v>
      </c>
      <c r="K10" s="22" t="str">
        <f t="shared" si="7"/>
        <v xml:space="preserve">  127, // #8 = Pot 2 CC</v>
      </c>
      <c r="L10" s="22" t="str">
        <f t="shared" si="8"/>
        <v xml:space="preserve">  10, // #8 = Pot 2 CC</v>
      </c>
      <c r="M10" s="22" t="str">
        <f t="shared" si="9"/>
        <v xml:space="preserve">  0, // #8 = Pot 2 CC</v>
      </c>
      <c r="O10" s="16"/>
    </row>
    <row r="11" spans="1:15" x14ac:dyDescent="0.25">
      <c r="A11" s="3">
        <f t="shared" si="5"/>
        <v>9</v>
      </c>
      <c r="B11" s="2" t="s">
        <v>11</v>
      </c>
      <c r="C11" s="2">
        <v>0</v>
      </c>
      <c r="D11" s="2">
        <v>-1</v>
      </c>
      <c r="E11" s="2">
        <v>127</v>
      </c>
      <c r="F11" s="2">
        <v>11</v>
      </c>
      <c r="G11" s="19" t="s">
        <v>56</v>
      </c>
      <c r="H11" s="22" t="str">
        <f t="shared" si="10"/>
        <v xml:space="preserve">  m_CC3, // #9 = Pot 3 CC</v>
      </c>
      <c r="I11" s="2" t="str">
        <f>CONCATENATE("  { """,B11,""" },  // #",A11," ",IF(C11&lt;0," EXIT SUBM",""))</f>
        <v xml:space="preserve">  { "Pot 3 CC" },  // #9 </v>
      </c>
      <c r="J11" s="22" t="str">
        <f t="shared" si="6"/>
        <v xml:space="preserve">  -1, // #9 = Pot 3 CC</v>
      </c>
      <c r="K11" s="22" t="str">
        <f t="shared" si="7"/>
        <v xml:space="preserve">  127, // #9 = Pot 3 CC</v>
      </c>
      <c r="L11" s="22" t="str">
        <f t="shared" si="8"/>
        <v xml:space="preserve">  11, // #9 = Pot 3 CC</v>
      </c>
      <c r="M11" s="22" t="str">
        <f t="shared" si="9"/>
        <v xml:space="preserve">  0, // #9 = Pot 3 CC</v>
      </c>
      <c r="O11" s="16"/>
    </row>
    <row r="12" spans="1:15" x14ac:dyDescent="0.25">
      <c r="A12" s="3">
        <f t="shared" si="5"/>
        <v>10</v>
      </c>
      <c r="B12" s="2" t="s">
        <v>12</v>
      </c>
      <c r="C12" s="2">
        <v>0</v>
      </c>
      <c r="D12" s="2">
        <v>-1</v>
      </c>
      <c r="E12" s="2">
        <v>127</v>
      </c>
      <c r="F12" s="2">
        <v>91</v>
      </c>
      <c r="G12" s="19" t="s">
        <v>57</v>
      </c>
      <c r="H12" s="22" t="str">
        <f t="shared" si="10"/>
        <v xml:space="preserve">  m_CC4, // #10 = Pot 4 CC</v>
      </c>
      <c r="I12" s="2" t="str">
        <f>CONCATENATE("  { """,B12,""" },  // #",A12," ",IF(C12&lt;0," EXIT SUBM",""))</f>
        <v xml:space="preserve">  { "Pot 4 CC" },  // #10 </v>
      </c>
      <c r="J12" s="22" t="str">
        <f t="shared" si="6"/>
        <v xml:space="preserve">  -1, // #10 = Pot 4 CC</v>
      </c>
      <c r="K12" s="22" t="str">
        <f t="shared" si="7"/>
        <v xml:space="preserve">  127, // #10 = Pot 4 CC</v>
      </c>
      <c r="L12" s="22" t="str">
        <f t="shared" si="8"/>
        <v xml:space="preserve">  91, // #10 = Pot 4 CC</v>
      </c>
      <c r="M12" s="22" t="str">
        <f t="shared" si="9"/>
        <v xml:space="preserve">  0, // #10 = Pot 4 CC</v>
      </c>
      <c r="O12" s="16"/>
    </row>
    <row r="13" spans="1:15" s="17" customFormat="1" x14ac:dyDescent="0.25">
      <c r="A13" s="3">
        <f t="shared" si="5"/>
        <v>11</v>
      </c>
      <c r="B13" s="2" t="s">
        <v>107</v>
      </c>
      <c r="C13" s="2">
        <v>0</v>
      </c>
      <c r="D13" s="2">
        <v>-1</v>
      </c>
      <c r="E13" s="2">
        <v>127</v>
      </c>
      <c r="F13" s="2">
        <v>-1</v>
      </c>
      <c r="G13" s="19" t="s">
        <v>95</v>
      </c>
      <c r="H13" s="22" t="str">
        <f t="shared" ref="H13:H24" si="11">CONCATENATE("  ",G13,", // #",A13," = ",B13,IF(C13&lt;0," EXIT ",""))</f>
        <v xml:space="preserve">  m_CC5, // #11 = Pot 5 CC</v>
      </c>
      <c r="I13" s="2" t="str">
        <f t="shared" ref="I13:I24" si="12">CONCATENATE("  { """,B13,""" },  // #",A13," ",IF(C13&lt;0," EXIT SUBM",""))</f>
        <v xml:space="preserve">  { "Pot 5 CC" },  // #11 </v>
      </c>
      <c r="J13" s="22" t="str">
        <f t="shared" ref="J13:J24" si="13">CONCATENATE("  ",D13,", // #",A13," = ",B13,IF(C13&lt;0," EXIT ",""))</f>
        <v xml:space="preserve">  -1, // #11 = Pot 5 CC</v>
      </c>
      <c r="K13" s="22" t="str">
        <f t="shared" ref="K13:K24" si="14">CONCATENATE("  ",E13,", // #",A13," = ",B13,IF(C13&lt;0," EXIT ",""))</f>
        <v xml:space="preserve">  127, // #11 = Pot 5 CC</v>
      </c>
      <c r="L13" s="22" t="str">
        <f t="shared" ref="L13:L24" si="15">CONCATENATE("  ",F13,", // #",A13," = ",B13,IF(C13&lt;0," EXIT ",""))</f>
        <v xml:space="preserve">  -1, // #11 = Pot 5 CC</v>
      </c>
      <c r="M13" s="22" t="str">
        <f t="shared" ref="M13:M24" si="16">CONCATENATE("  ",C13,", // #",A13," = ",B13,IF(C13&lt;0," EXIT ",""))</f>
        <v xml:space="preserve">  0, // #11 = Pot 5 CC</v>
      </c>
      <c r="O13" s="16"/>
    </row>
    <row r="14" spans="1:15" x14ac:dyDescent="0.25">
      <c r="A14" s="3">
        <f t="shared" si="5"/>
        <v>12</v>
      </c>
      <c r="B14" s="2" t="s">
        <v>108</v>
      </c>
      <c r="C14" s="2">
        <v>0</v>
      </c>
      <c r="D14" s="2">
        <v>-1</v>
      </c>
      <c r="E14" s="2">
        <v>127</v>
      </c>
      <c r="F14" s="2">
        <v>-1</v>
      </c>
      <c r="G14" s="19" t="s">
        <v>96</v>
      </c>
      <c r="H14" s="22" t="str">
        <f t="shared" si="11"/>
        <v xml:space="preserve">  m_CC6, // #12 = Pot 6 CC</v>
      </c>
      <c r="I14" s="2" t="str">
        <f t="shared" si="12"/>
        <v xml:space="preserve">  { "Pot 6 CC" },  // #12 </v>
      </c>
      <c r="J14" s="22" t="str">
        <f t="shared" si="13"/>
        <v xml:space="preserve">  -1, // #12 = Pot 6 CC</v>
      </c>
      <c r="K14" s="22" t="str">
        <f t="shared" si="14"/>
        <v xml:space="preserve">  127, // #12 = Pot 6 CC</v>
      </c>
      <c r="L14" s="22" t="str">
        <f t="shared" si="15"/>
        <v xml:space="preserve">  -1, // #12 = Pot 6 CC</v>
      </c>
      <c r="M14" s="22" t="str">
        <f t="shared" si="16"/>
        <v xml:space="preserve">  0, // #12 = Pot 6 CC</v>
      </c>
      <c r="O14" s="16"/>
    </row>
    <row r="15" spans="1:15" x14ac:dyDescent="0.25">
      <c r="A15" s="3">
        <f t="shared" si="5"/>
        <v>13</v>
      </c>
      <c r="B15" s="2" t="s">
        <v>109</v>
      </c>
      <c r="C15" s="2">
        <v>0</v>
      </c>
      <c r="D15" s="2">
        <v>-1</v>
      </c>
      <c r="E15" s="2">
        <v>127</v>
      </c>
      <c r="F15" s="2">
        <v>-1</v>
      </c>
      <c r="G15" s="19" t="s">
        <v>97</v>
      </c>
      <c r="H15" s="22" t="str">
        <f t="shared" si="11"/>
        <v xml:space="preserve">  m_CC7, // #13 = Pot 7 CC</v>
      </c>
      <c r="I15" s="2" t="str">
        <f t="shared" si="12"/>
        <v xml:space="preserve">  { "Pot 7 CC" },  // #13 </v>
      </c>
      <c r="J15" s="22" t="str">
        <f t="shared" si="13"/>
        <v xml:space="preserve">  -1, // #13 = Pot 7 CC</v>
      </c>
      <c r="K15" s="22" t="str">
        <f t="shared" si="14"/>
        <v xml:space="preserve">  127, // #13 = Pot 7 CC</v>
      </c>
      <c r="L15" s="22" t="str">
        <f t="shared" si="15"/>
        <v xml:space="preserve">  -1, // #13 = Pot 7 CC</v>
      </c>
      <c r="M15" s="22" t="str">
        <f t="shared" si="16"/>
        <v xml:space="preserve">  0, // #13 = Pot 7 CC</v>
      </c>
      <c r="O15" s="16"/>
    </row>
    <row r="16" spans="1:15" x14ac:dyDescent="0.25">
      <c r="A16" s="3">
        <f t="shared" si="5"/>
        <v>14</v>
      </c>
      <c r="B16" s="2" t="s">
        <v>110</v>
      </c>
      <c r="C16" s="2">
        <v>0</v>
      </c>
      <c r="D16" s="2">
        <v>-1</v>
      </c>
      <c r="E16" s="2">
        <v>127</v>
      </c>
      <c r="F16" s="2">
        <v>-1</v>
      </c>
      <c r="G16" s="19" t="s">
        <v>98</v>
      </c>
      <c r="H16" s="22" t="str">
        <f t="shared" si="11"/>
        <v xml:space="preserve">  m_CC8, // #14 = Pot 8 CC</v>
      </c>
      <c r="I16" s="2" t="str">
        <f t="shared" si="12"/>
        <v xml:space="preserve">  { "Pot 8 CC" },  // #14 </v>
      </c>
      <c r="J16" s="22" t="str">
        <f t="shared" si="13"/>
        <v xml:space="preserve">  -1, // #14 = Pot 8 CC</v>
      </c>
      <c r="K16" s="22" t="str">
        <f t="shared" si="14"/>
        <v xml:space="preserve">  127, // #14 = Pot 8 CC</v>
      </c>
      <c r="L16" s="22" t="str">
        <f t="shared" si="15"/>
        <v xml:space="preserve">  -1, // #14 = Pot 8 CC</v>
      </c>
      <c r="M16" s="22" t="str">
        <f t="shared" si="16"/>
        <v xml:space="preserve">  0, // #14 = Pot 8 CC</v>
      </c>
      <c r="O16" s="16"/>
    </row>
    <row r="17" spans="1:15" x14ac:dyDescent="0.25">
      <c r="A17" s="3">
        <f t="shared" si="5"/>
        <v>15</v>
      </c>
      <c r="B17" s="2" t="s">
        <v>111</v>
      </c>
      <c r="C17" s="2">
        <v>0</v>
      </c>
      <c r="D17" s="2">
        <v>-1</v>
      </c>
      <c r="E17" s="2">
        <v>127</v>
      </c>
      <c r="F17" s="2">
        <v>-1</v>
      </c>
      <c r="G17" s="19" t="s">
        <v>99</v>
      </c>
      <c r="H17" s="22" t="str">
        <f t="shared" si="11"/>
        <v xml:space="preserve">  m_CC9, // #15 = Pot 9 CC</v>
      </c>
      <c r="I17" s="2" t="str">
        <f t="shared" si="12"/>
        <v xml:space="preserve">  { "Pot 9 CC" },  // #15 </v>
      </c>
      <c r="J17" s="22" t="str">
        <f t="shared" si="13"/>
        <v xml:space="preserve">  -1, // #15 = Pot 9 CC</v>
      </c>
      <c r="K17" s="22" t="str">
        <f t="shared" si="14"/>
        <v xml:space="preserve">  127, // #15 = Pot 9 CC</v>
      </c>
      <c r="L17" s="22" t="str">
        <f t="shared" si="15"/>
        <v xml:space="preserve">  -1, // #15 = Pot 9 CC</v>
      </c>
      <c r="M17" s="22" t="str">
        <f t="shared" si="16"/>
        <v xml:space="preserve">  0, // #15 = Pot 9 CC</v>
      </c>
      <c r="O17" s="16"/>
    </row>
    <row r="18" spans="1:15" s="17" customFormat="1" x14ac:dyDescent="0.25">
      <c r="A18" s="3">
        <f t="shared" si="5"/>
        <v>16</v>
      </c>
      <c r="B18" s="2" t="s">
        <v>112</v>
      </c>
      <c r="C18" s="2">
        <v>0</v>
      </c>
      <c r="D18" s="2">
        <v>-1</v>
      </c>
      <c r="E18" s="2">
        <v>127</v>
      </c>
      <c r="F18" s="2">
        <v>-1</v>
      </c>
      <c r="G18" s="19" t="s">
        <v>100</v>
      </c>
      <c r="H18" s="22" t="str">
        <f t="shared" si="11"/>
        <v xml:space="preserve">  m_CC10, // #16 = Pot 10 CC</v>
      </c>
      <c r="I18" s="2" t="str">
        <f t="shared" si="12"/>
        <v xml:space="preserve">  { "Pot 10 CC" },  // #16 </v>
      </c>
      <c r="J18" s="22" t="str">
        <f t="shared" si="13"/>
        <v xml:space="preserve">  -1, // #16 = Pot 10 CC</v>
      </c>
      <c r="K18" s="22" t="str">
        <f t="shared" si="14"/>
        <v xml:space="preserve">  127, // #16 = Pot 10 CC</v>
      </c>
      <c r="L18" s="22" t="str">
        <f t="shared" si="15"/>
        <v xml:space="preserve">  -1, // #16 = Pot 10 CC</v>
      </c>
      <c r="M18" s="22" t="str">
        <f t="shared" si="16"/>
        <v xml:space="preserve">  0, // #16 = Pot 10 CC</v>
      </c>
      <c r="O18" s="16"/>
    </row>
    <row r="19" spans="1:15" x14ac:dyDescent="0.25">
      <c r="A19" s="3">
        <f t="shared" si="5"/>
        <v>17</v>
      </c>
      <c r="B19" s="2" t="s">
        <v>113</v>
      </c>
      <c r="C19" s="2">
        <v>0</v>
      </c>
      <c r="D19" s="2">
        <v>-1</v>
      </c>
      <c r="E19" s="2">
        <v>127</v>
      </c>
      <c r="F19" s="2">
        <v>-1</v>
      </c>
      <c r="G19" s="19" t="s">
        <v>101</v>
      </c>
      <c r="H19" s="22" t="str">
        <f t="shared" si="11"/>
        <v xml:space="preserve">  m_CC11, // #17 = Pot 11 CC</v>
      </c>
      <c r="I19" s="2" t="str">
        <f t="shared" si="12"/>
        <v xml:space="preserve">  { "Pot 11 CC" },  // #17 </v>
      </c>
      <c r="J19" s="22" t="str">
        <f t="shared" si="13"/>
        <v xml:space="preserve">  -1, // #17 = Pot 11 CC</v>
      </c>
      <c r="K19" s="22" t="str">
        <f t="shared" si="14"/>
        <v xml:space="preserve">  127, // #17 = Pot 11 CC</v>
      </c>
      <c r="L19" s="22" t="str">
        <f t="shared" si="15"/>
        <v xml:space="preserve">  -1, // #17 = Pot 11 CC</v>
      </c>
      <c r="M19" s="22" t="str">
        <f t="shared" si="16"/>
        <v xml:space="preserve">  0, // #17 = Pot 11 CC</v>
      </c>
      <c r="O19" s="16"/>
    </row>
    <row r="20" spans="1:15" x14ac:dyDescent="0.25">
      <c r="A20" s="3">
        <f t="shared" si="5"/>
        <v>18</v>
      </c>
      <c r="B20" s="2" t="s">
        <v>114</v>
      </c>
      <c r="C20" s="2">
        <v>0</v>
      </c>
      <c r="D20" s="2">
        <v>-1</v>
      </c>
      <c r="E20" s="2">
        <v>127</v>
      </c>
      <c r="F20" s="2">
        <v>-1</v>
      </c>
      <c r="G20" s="19" t="s">
        <v>102</v>
      </c>
      <c r="H20" s="22" t="str">
        <f t="shared" si="11"/>
        <v xml:space="preserve">  m_CC12, // #18 = Pot 12 CC</v>
      </c>
      <c r="I20" s="2" t="str">
        <f t="shared" si="12"/>
        <v xml:space="preserve">  { "Pot 12 CC" },  // #18 </v>
      </c>
      <c r="J20" s="22" t="str">
        <f t="shared" si="13"/>
        <v xml:space="preserve">  -1, // #18 = Pot 12 CC</v>
      </c>
      <c r="K20" s="22" t="str">
        <f t="shared" si="14"/>
        <v xml:space="preserve">  127, // #18 = Pot 12 CC</v>
      </c>
      <c r="L20" s="22" t="str">
        <f t="shared" si="15"/>
        <v xml:space="preserve">  -1, // #18 = Pot 12 CC</v>
      </c>
      <c r="M20" s="22" t="str">
        <f t="shared" si="16"/>
        <v xml:space="preserve">  0, // #18 = Pot 12 CC</v>
      </c>
      <c r="O20" s="16"/>
    </row>
    <row r="21" spans="1:15" x14ac:dyDescent="0.25">
      <c r="A21" s="3">
        <f t="shared" si="5"/>
        <v>19</v>
      </c>
      <c r="B21" s="2" t="s">
        <v>115</v>
      </c>
      <c r="C21" s="2">
        <v>0</v>
      </c>
      <c r="D21" s="2">
        <v>-1</v>
      </c>
      <c r="E21" s="2">
        <v>127</v>
      </c>
      <c r="F21" s="2">
        <v>-1</v>
      </c>
      <c r="G21" s="19" t="s">
        <v>103</v>
      </c>
      <c r="H21" s="22" t="str">
        <f t="shared" si="11"/>
        <v xml:space="preserve">  m_CC13, // #19 = Pot 13 CC</v>
      </c>
      <c r="I21" s="2" t="str">
        <f t="shared" si="12"/>
        <v xml:space="preserve">  { "Pot 13 CC" },  // #19 </v>
      </c>
      <c r="J21" s="22" t="str">
        <f t="shared" si="13"/>
        <v xml:space="preserve">  -1, // #19 = Pot 13 CC</v>
      </c>
      <c r="K21" s="22" t="str">
        <f t="shared" si="14"/>
        <v xml:space="preserve">  127, // #19 = Pot 13 CC</v>
      </c>
      <c r="L21" s="22" t="str">
        <f t="shared" si="15"/>
        <v xml:space="preserve">  -1, // #19 = Pot 13 CC</v>
      </c>
      <c r="M21" s="22" t="str">
        <f t="shared" si="16"/>
        <v xml:space="preserve">  0, // #19 = Pot 13 CC</v>
      </c>
      <c r="O21" s="16"/>
    </row>
    <row r="22" spans="1:15" x14ac:dyDescent="0.25">
      <c r="A22" s="3">
        <f t="shared" si="5"/>
        <v>20</v>
      </c>
      <c r="B22" s="2" t="s">
        <v>116</v>
      </c>
      <c r="C22" s="2">
        <v>0</v>
      </c>
      <c r="D22" s="2">
        <v>-1</v>
      </c>
      <c r="E22" s="2">
        <v>127</v>
      </c>
      <c r="F22" s="2">
        <v>-1</v>
      </c>
      <c r="G22" s="19" t="s">
        <v>104</v>
      </c>
      <c r="H22" s="22" t="str">
        <f t="shared" si="11"/>
        <v xml:space="preserve">  m_CC14, // #20 = Pot 14 CC</v>
      </c>
      <c r="I22" s="2" t="str">
        <f t="shared" si="12"/>
        <v xml:space="preserve">  { "Pot 14 CC" },  // #20 </v>
      </c>
      <c r="J22" s="22" t="str">
        <f t="shared" si="13"/>
        <v xml:space="preserve">  -1, // #20 = Pot 14 CC</v>
      </c>
      <c r="K22" s="22" t="str">
        <f t="shared" si="14"/>
        <v xml:space="preserve">  127, // #20 = Pot 14 CC</v>
      </c>
      <c r="L22" s="22" t="str">
        <f t="shared" si="15"/>
        <v xml:space="preserve">  -1, // #20 = Pot 14 CC</v>
      </c>
      <c r="M22" s="22" t="str">
        <f t="shared" si="16"/>
        <v xml:space="preserve">  0, // #20 = Pot 14 CC</v>
      </c>
      <c r="O22" s="16"/>
    </row>
    <row r="23" spans="1:15" x14ac:dyDescent="0.25">
      <c r="A23" s="3">
        <f t="shared" si="5"/>
        <v>21</v>
      </c>
      <c r="B23" s="2" t="s">
        <v>117</v>
      </c>
      <c r="C23" s="2">
        <v>0</v>
      </c>
      <c r="D23" s="2">
        <v>-1</v>
      </c>
      <c r="E23" s="2">
        <v>127</v>
      </c>
      <c r="F23" s="2">
        <v>-1</v>
      </c>
      <c r="G23" s="19" t="s">
        <v>105</v>
      </c>
      <c r="H23" s="22" t="str">
        <f t="shared" si="11"/>
        <v xml:space="preserve">  m_CC15, // #21 = Pot 15 CC</v>
      </c>
      <c r="I23" s="2" t="str">
        <f t="shared" si="12"/>
        <v xml:space="preserve">  { "Pot 15 CC" },  // #21 </v>
      </c>
      <c r="J23" s="22" t="str">
        <f t="shared" si="13"/>
        <v xml:space="preserve">  -1, // #21 = Pot 15 CC</v>
      </c>
      <c r="K23" s="22" t="str">
        <f t="shared" si="14"/>
        <v xml:space="preserve">  127, // #21 = Pot 15 CC</v>
      </c>
      <c r="L23" s="22" t="str">
        <f t="shared" si="15"/>
        <v xml:space="preserve">  -1, // #21 = Pot 15 CC</v>
      </c>
      <c r="M23" s="22" t="str">
        <f t="shared" si="16"/>
        <v xml:space="preserve">  0, // #21 = Pot 15 CC</v>
      </c>
      <c r="O23" s="16"/>
    </row>
    <row r="24" spans="1:15" x14ac:dyDescent="0.25">
      <c r="A24" s="3">
        <f t="shared" si="5"/>
        <v>22</v>
      </c>
      <c r="B24" s="2" t="s">
        <v>118</v>
      </c>
      <c r="C24" s="2">
        <v>0</v>
      </c>
      <c r="D24" s="2">
        <v>-1</v>
      </c>
      <c r="E24" s="2">
        <v>127</v>
      </c>
      <c r="F24" s="2">
        <v>-1</v>
      </c>
      <c r="G24" s="19" t="s">
        <v>106</v>
      </c>
      <c r="H24" s="22" t="str">
        <f t="shared" si="11"/>
        <v xml:space="preserve">  m_CC16, // #22 = Pot 16 CC</v>
      </c>
      <c r="I24" s="2" t="str">
        <f t="shared" si="12"/>
        <v xml:space="preserve">  { "Pot 16 CC" },  // #22 </v>
      </c>
      <c r="J24" s="22" t="str">
        <f t="shared" si="13"/>
        <v xml:space="preserve">  -1, // #22 = Pot 16 CC</v>
      </c>
      <c r="K24" s="22" t="str">
        <f t="shared" si="14"/>
        <v xml:space="preserve">  127, // #22 = Pot 16 CC</v>
      </c>
      <c r="L24" s="22" t="str">
        <f t="shared" si="15"/>
        <v xml:space="preserve">  -1, // #22 = Pot 16 CC</v>
      </c>
      <c r="M24" s="22" t="str">
        <f t="shared" si="16"/>
        <v xml:space="preserve">  0, // #22 = Pot 16 CC</v>
      </c>
      <c r="O24" s="16"/>
    </row>
    <row r="25" spans="1:15" x14ac:dyDescent="0.25">
      <c r="A25" s="3">
        <f t="shared" si="5"/>
        <v>23</v>
      </c>
      <c r="B25" s="3" t="s">
        <v>7</v>
      </c>
      <c r="C25" s="3">
        <v>-1</v>
      </c>
      <c r="D25" s="3">
        <v>0</v>
      </c>
      <c r="E25" s="3">
        <v>0</v>
      </c>
      <c r="F25" s="3">
        <v>0</v>
      </c>
      <c r="G25" s="24" t="s">
        <v>58</v>
      </c>
      <c r="H25" s="22" t="str">
        <f>CONCATENATE("  ",G25,", // #",A25," = ",B25,IF(C25&lt;0," EXIT ",""))</f>
        <v xml:space="preserve">  m_cc_back, // #23 = Pot Assign EXIT </v>
      </c>
      <c r="I25" s="2" t="str">
        <f>CONCATENATE("  { """,B25,""" },  // #",A25," ",IF(C25&lt;0," EXIT SUBM",""))</f>
        <v xml:space="preserve">  { "Pot Assign" },  // #23  EXIT SUBM</v>
      </c>
      <c r="J25" s="22" t="str">
        <f>CONCATENATE("  ",D25,", // #",A25," = ",B25,IF(C25&lt;0," EXIT ",""))</f>
        <v xml:space="preserve">  0, // #23 = Pot Assign EXIT </v>
      </c>
      <c r="K25" s="22" t="str">
        <f>CONCATENATE("  ",E25,", // #",A25," = ",B25,IF(C25&lt;0," EXIT ",""))</f>
        <v xml:space="preserve">  0, // #23 = Pot Assign EXIT </v>
      </c>
      <c r="L25" s="22" t="str">
        <f>CONCATENATE("  ",F25,", // #",A25," = ",B25,IF(C25&lt;0," EXIT ",""))</f>
        <v xml:space="preserve">  0, // #23 = Pot Assign EXIT </v>
      </c>
      <c r="M25" s="22" t="str">
        <f>CONCATENATE("  ",C25,", // #",A25," = ",B25,IF(C25&lt;0," EXIT ",""))</f>
        <v xml:space="preserve">  -1, // #23 = Pot Assign EXIT </v>
      </c>
      <c r="O25" s="16"/>
    </row>
    <row r="26" spans="1:15" s="17" customFormat="1" x14ac:dyDescent="0.25">
      <c r="A26" s="3">
        <f t="shared" si="5"/>
        <v>24</v>
      </c>
      <c r="B26" s="2" t="s">
        <v>13</v>
      </c>
      <c r="C26" s="2">
        <f>A143</f>
        <v>0</v>
      </c>
      <c r="D26" s="2">
        <v>-1</v>
      </c>
      <c r="E26" s="2">
        <v>127</v>
      </c>
      <c r="F26" s="2">
        <v>20</v>
      </c>
      <c r="G26" s="19" t="s">
        <v>59</v>
      </c>
      <c r="H26" s="22" t="str">
        <f>CONCATENATE("  ",G26,", // #",A26," = ",B26,IF(C26&lt;0," EXIT ",""))</f>
        <v xml:space="preserve">  m_btn1, // #24 = Button 1</v>
      </c>
      <c r="I26" s="2" t="str">
        <f>CONCATENATE("  { """,B26,""" },  // #",A26," ",IF(C26&lt;0," EXIT SUBM",""))</f>
        <v xml:space="preserve">  { "Button 1" },  // #24 </v>
      </c>
      <c r="J26" s="22" t="str">
        <f>CONCATENATE("  ",D26,", // #",A26," = ",B26,IF(C26&lt;0," EXIT ",""))</f>
        <v xml:space="preserve">  -1, // #24 = Button 1</v>
      </c>
      <c r="K26" s="22" t="str">
        <f>CONCATENATE("  ",E26,", // #",A26," = ",B26,IF(C26&lt;0," EXIT ",""))</f>
        <v xml:space="preserve">  127, // #24 = Button 1</v>
      </c>
      <c r="L26" s="22" t="str">
        <f>CONCATENATE("  ",F26,", // #",A26," = ",B26,IF(C26&lt;0," EXIT ",""))</f>
        <v xml:space="preserve">  20, // #24 = Button 1</v>
      </c>
      <c r="M26" s="22" t="str">
        <f>CONCATENATE("  ",C26,", // #",A26," = ",B26,IF(C26&lt;0," EXIT ",""))</f>
        <v xml:space="preserve">  0, // #24 = Button 1</v>
      </c>
      <c r="O26" s="16"/>
    </row>
    <row r="27" spans="1:15" x14ac:dyDescent="0.25">
      <c r="A27" s="3">
        <f t="shared" si="5"/>
        <v>25</v>
      </c>
      <c r="B27" s="2" t="s">
        <v>14</v>
      </c>
      <c r="C27" s="2">
        <f>A143</f>
        <v>0</v>
      </c>
      <c r="D27" s="2">
        <v>-1</v>
      </c>
      <c r="E27" s="2">
        <v>127</v>
      </c>
      <c r="F27" s="2">
        <v>21</v>
      </c>
      <c r="G27" s="19" t="s">
        <v>60</v>
      </c>
      <c r="H27" s="22" t="str">
        <f>CONCATENATE("  ",G27,", // #",A27," = ",B27,IF(C27&lt;0," EXIT ",""))</f>
        <v xml:space="preserve">  m_btn2, // #25 = Button 2</v>
      </c>
      <c r="I27" s="2" t="str">
        <f>CONCATENATE("  { """,B27,""" },  // #",A27," ",IF(C27&lt;0," EXIT SUBM",""))</f>
        <v xml:space="preserve">  { "Button 2" },  // #25 </v>
      </c>
      <c r="J27" s="22" t="str">
        <f>CONCATENATE("  ",D27,", // #",A27," = ",B27,IF(C27&lt;0," EXIT ",""))</f>
        <v xml:space="preserve">  -1, // #25 = Button 2</v>
      </c>
      <c r="K27" s="22" t="str">
        <f>CONCATENATE("  ",E27,", // #",A27," = ",B27,IF(C27&lt;0," EXIT ",""))</f>
        <v xml:space="preserve">  127, // #25 = Button 2</v>
      </c>
      <c r="L27" s="22" t="str">
        <f>CONCATENATE("  ",F27,", // #",A27," = ",B27,IF(C27&lt;0," EXIT ",""))</f>
        <v xml:space="preserve">  21, // #25 = Button 2</v>
      </c>
      <c r="M27" s="22" t="str">
        <f>CONCATENATE("  ",C27,", // #",A27," = ",B27,IF(C27&lt;0," EXIT ",""))</f>
        <v xml:space="preserve">  0, // #25 = Button 2</v>
      </c>
      <c r="O27" s="16"/>
    </row>
    <row r="28" spans="1:15" x14ac:dyDescent="0.25">
      <c r="A28" s="3">
        <f t="shared" si="5"/>
        <v>26</v>
      </c>
      <c r="B28" s="2" t="s">
        <v>15</v>
      </c>
      <c r="C28" s="2">
        <f>A143</f>
        <v>0</v>
      </c>
      <c r="D28" s="2">
        <v>-1</v>
      </c>
      <c r="E28" s="2">
        <v>127</v>
      </c>
      <c r="F28" s="2">
        <v>22</v>
      </c>
      <c r="G28" s="19" t="s">
        <v>61</v>
      </c>
      <c r="H28" s="22" t="str">
        <f>CONCATENATE("  ",G28,", // #",A28," = ",B28,IF(C28&lt;0," EXIT ",""))</f>
        <v xml:space="preserve">  m_btn3, // #26 = Button 3</v>
      </c>
      <c r="I28" s="2" t="str">
        <f>CONCATENATE("  { """,B28,""" },  // #",A28," ",IF(C28&lt;0," EXIT SUBM",""))</f>
        <v xml:space="preserve">  { "Button 3" },  // #26 </v>
      </c>
      <c r="J28" s="22" t="str">
        <f>CONCATENATE("  ",D28,", // #",A28," = ",B28,IF(C28&lt;0," EXIT ",""))</f>
        <v xml:space="preserve">  -1, // #26 = Button 3</v>
      </c>
      <c r="K28" s="22" t="str">
        <f>CONCATENATE("  ",E28,", // #",A28," = ",B28,IF(C28&lt;0," EXIT ",""))</f>
        <v xml:space="preserve">  127, // #26 = Button 3</v>
      </c>
      <c r="L28" s="22" t="str">
        <f>CONCATENATE("  ",F28,", // #",A28," = ",B28,IF(C28&lt;0," EXIT ",""))</f>
        <v xml:space="preserve">  22, // #26 = Button 3</v>
      </c>
      <c r="M28" s="22" t="str">
        <f>CONCATENATE("  ",C28,", // #",A28," = ",B28,IF(C28&lt;0," EXIT ",""))</f>
        <v xml:space="preserve">  0, // #26 = Button 3</v>
      </c>
      <c r="O28" s="16"/>
    </row>
    <row r="29" spans="1:15" x14ac:dyDescent="0.25">
      <c r="A29" s="3">
        <f t="shared" si="5"/>
        <v>27</v>
      </c>
      <c r="B29" s="2" t="s">
        <v>69</v>
      </c>
      <c r="C29" s="2">
        <f>A93</f>
        <v>0</v>
      </c>
      <c r="D29" s="2">
        <v>-1</v>
      </c>
      <c r="E29" s="2">
        <v>127</v>
      </c>
      <c r="F29" s="2">
        <v>23</v>
      </c>
      <c r="G29" s="19" t="s">
        <v>70</v>
      </c>
      <c r="H29" s="22" t="str">
        <f>CONCATENATE("  ",G29,", // #",A29," = ",B29,IF(C29&lt;0," EXIT ",""))</f>
        <v xml:space="preserve">  m_btn4, // #27 = Button 4</v>
      </c>
      <c r="I29" s="2" t="str">
        <f>CONCATENATE("  { """,B29,""" },  // #",A29," ",IF(C29&lt;0," EXIT SUBM",""))</f>
        <v xml:space="preserve">  { "Button 4" },  // #27 </v>
      </c>
      <c r="J29" s="22" t="str">
        <f>CONCATENATE("  ",D29,", // #",A29," = ",B29,IF(C29&lt;0," EXIT ",""))</f>
        <v xml:space="preserve">  -1, // #27 = Button 4</v>
      </c>
      <c r="K29" s="22" t="str">
        <f>CONCATENATE("  ",E29,", // #",A29," = ",B29,IF(C29&lt;0," EXIT ",""))</f>
        <v xml:space="preserve">  127, // #27 = Button 4</v>
      </c>
      <c r="L29" s="22" t="str">
        <f>CONCATENATE("  ",F29,", // #",A29," = ",B29,IF(C29&lt;0," EXIT ",""))</f>
        <v xml:space="preserve">  23, // #27 = Button 4</v>
      </c>
      <c r="M29" s="22" t="str">
        <f>CONCATENATE("  ",C29,", // #",A29," = ",B29,IF(C29&lt;0," EXIT ",""))</f>
        <v xml:space="preserve">  0, // #27 = Button 4</v>
      </c>
      <c r="O29" s="16"/>
    </row>
    <row r="30" spans="1:15" x14ac:dyDescent="0.25">
      <c r="A30" s="3">
        <f t="shared" si="5"/>
        <v>28</v>
      </c>
      <c r="B30" s="2" t="s">
        <v>71</v>
      </c>
      <c r="C30" s="2">
        <f>A94</f>
        <v>0</v>
      </c>
      <c r="D30" s="2">
        <v>-1</v>
      </c>
      <c r="E30" s="2">
        <v>127</v>
      </c>
      <c r="F30" s="2">
        <v>24</v>
      </c>
      <c r="G30" s="19" t="s">
        <v>72</v>
      </c>
      <c r="H30" s="22" t="str">
        <f t="shared" ref="H30:H41" si="17">CONCATENATE("  ",G30,", // #",A30," = ",B30,IF(C30&lt;0," EXIT ",""))</f>
        <v xml:space="preserve">  m_btn5, // #28 = Button 5</v>
      </c>
      <c r="I30" s="2" t="str">
        <f t="shared" ref="I30:I41" si="18">CONCATENATE("  { """,B30,""" },  // #",A30," ",IF(C30&lt;0," EXIT SUBM",""))</f>
        <v xml:space="preserve">  { "Button 5" },  // #28 </v>
      </c>
      <c r="J30" s="22" t="str">
        <f t="shared" ref="J30:J41" si="19">CONCATENATE("  ",D30,", // #",A30," = ",B30,IF(C30&lt;0," EXIT ",""))</f>
        <v xml:space="preserve">  -1, // #28 = Button 5</v>
      </c>
      <c r="K30" s="22" t="str">
        <f t="shared" ref="K30:K41" si="20">CONCATENATE("  ",E30,", // #",A30," = ",B30,IF(C30&lt;0," EXIT ",""))</f>
        <v xml:space="preserve">  127, // #28 = Button 5</v>
      </c>
      <c r="L30" s="22" t="str">
        <f t="shared" ref="L30:L41" si="21">CONCATENATE("  ",F30,", // #",A30," = ",B30,IF(C30&lt;0," EXIT ",""))</f>
        <v xml:space="preserve">  24, // #28 = Button 5</v>
      </c>
      <c r="M30" s="22" t="str">
        <f t="shared" ref="M30:M41" si="22">CONCATENATE("  ",C30,", // #",A30," = ",B30,IF(C30&lt;0," EXIT ",""))</f>
        <v xml:space="preserve">  0, // #28 = Button 5</v>
      </c>
      <c r="O30" s="16"/>
    </row>
    <row r="31" spans="1:15" x14ac:dyDescent="0.25">
      <c r="A31" s="3">
        <f t="shared" si="5"/>
        <v>29</v>
      </c>
      <c r="B31" s="2" t="s">
        <v>73</v>
      </c>
      <c r="C31" s="2">
        <f>A95</f>
        <v>0</v>
      </c>
      <c r="D31" s="2">
        <v>-1</v>
      </c>
      <c r="E31" s="2">
        <v>127</v>
      </c>
      <c r="F31" s="2">
        <v>25</v>
      </c>
      <c r="G31" s="19" t="s">
        <v>74</v>
      </c>
      <c r="H31" s="22" t="str">
        <f t="shared" si="17"/>
        <v xml:space="preserve">  m_btn6, // #29 = Button 6</v>
      </c>
      <c r="I31" s="2" t="str">
        <f t="shared" si="18"/>
        <v xml:space="preserve">  { "Button 6" },  // #29 </v>
      </c>
      <c r="J31" s="22" t="str">
        <f t="shared" si="19"/>
        <v xml:space="preserve">  -1, // #29 = Button 6</v>
      </c>
      <c r="K31" s="22" t="str">
        <f t="shared" si="20"/>
        <v xml:space="preserve">  127, // #29 = Button 6</v>
      </c>
      <c r="L31" s="22" t="str">
        <f t="shared" si="21"/>
        <v xml:space="preserve">  25, // #29 = Button 6</v>
      </c>
      <c r="M31" s="22" t="str">
        <f t="shared" si="22"/>
        <v xml:space="preserve">  0, // #29 = Button 6</v>
      </c>
      <c r="O31" s="16"/>
    </row>
    <row r="32" spans="1:15" x14ac:dyDescent="0.25">
      <c r="A32" s="3">
        <f t="shared" si="5"/>
        <v>30</v>
      </c>
      <c r="B32" s="2" t="s">
        <v>75</v>
      </c>
      <c r="C32" s="2">
        <f>A96</f>
        <v>0</v>
      </c>
      <c r="D32" s="2">
        <v>-1</v>
      </c>
      <c r="E32" s="2">
        <v>127</v>
      </c>
      <c r="F32" s="2">
        <v>26</v>
      </c>
      <c r="G32" s="19" t="s">
        <v>76</v>
      </c>
      <c r="H32" s="22" t="str">
        <f t="shared" si="17"/>
        <v xml:space="preserve">  m_btn7, // #30 = Button 7</v>
      </c>
      <c r="I32" s="2" t="str">
        <f t="shared" si="18"/>
        <v xml:space="preserve">  { "Button 7" },  // #30 </v>
      </c>
      <c r="J32" s="22" t="str">
        <f t="shared" si="19"/>
        <v xml:space="preserve">  -1, // #30 = Button 7</v>
      </c>
      <c r="K32" s="22" t="str">
        <f t="shared" si="20"/>
        <v xml:space="preserve">  127, // #30 = Button 7</v>
      </c>
      <c r="L32" s="22" t="str">
        <f t="shared" si="21"/>
        <v xml:space="preserve">  26, // #30 = Button 7</v>
      </c>
      <c r="M32" s="22" t="str">
        <f t="shared" si="22"/>
        <v xml:space="preserve">  0, // #30 = Button 7</v>
      </c>
      <c r="O32" s="16"/>
    </row>
    <row r="33" spans="1:15" x14ac:dyDescent="0.25">
      <c r="A33" s="3">
        <f t="shared" si="5"/>
        <v>31</v>
      </c>
      <c r="B33" s="2" t="s">
        <v>77</v>
      </c>
      <c r="C33" s="2">
        <f>A97</f>
        <v>0</v>
      </c>
      <c r="D33" s="2">
        <v>-1</v>
      </c>
      <c r="E33" s="2">
        <v>127</v>
      </c>
      <c r="F33" s="2">
        <v>27</v>
      </c>
      <c r="G33" s="19" t="s">
        <v>78</v>
      </c>
      <c r="H33" s="22" t="str">
        <f t="shared" si="17"/>
        <v xml:space="preserve">  m_btn8, // #31 = Button 8</v>
      </c>
      <c r="I33" s="2" t="str">
        <f t="shared" si="18"/>
        <v xml:space="preserve">  { "Button 8" },  // #31 </v>
      </c>
      <c r="J33" s="22" t="str">
        <f t="shared" si="19"/>
        <v xml:space="preserve">  -1, // #31 = Button 8</v>
      </c>
      <c r="K33" s="22" t="str">
        <f t="shared" si="20"/>
        <v xml:space="preserve">  127, // #31 = Button 8</v>
      </c>
      <c r="L33" s="22" t="str">
        <f t="shared" si="21"/>
        <v xml:space="preserve">  27, // #31 = Button 8</v>
      </c>
      <c r="M33" s="22" t="str">
        <f t="shared" si="22"/>
        <v xml:space="preserve">  0, // #31 = Button 8</v>
      </c>
      <c r="O33" s="21"/>
    </row>
    <row r="34" spans="1:15" x14ac:dyDescent="0.25">
      <c r="A34" s="3">
        <f t="shared" si="5"/>
        <v>32</v>
      </c>
      <c r="B34" s="2" t="s">
        <v>79</v>
      </c>
      <c r="C34" s="2">
        <f>A98</f>
        <v>0</v>
      </c>
      <c r="D34" s="2">
        <v>-1</v>
      </c>
      <c r="E34" s="2">
        <v>127</v>
      </c>
      <c r="F34" s="2">
        <v>28</v>
      </c>
      <c r="G34" s="19" t="s">
        <v>80</v>
      </c>
      <c r="H34" s="22" t="str">
        <f t="shared" si="17"/>
        <v xml:space="preserve">  m_btn9, // #32 = Button 9</v>
      </c>
      <c r="I34" s="2" t="str">
        <f t="shared" si="18"/>
        <v xml:space="preserve">  { "Button 9" },  // #32 </v>
      </c>
      <c r="J34" s="22" t="str">
        <f t="shared" si="19"/>
        <v xml:space="preserve">  -1, // #32 = Button 9</v>
      </c>
      <c r="K34" s="22" t="str">
        <f t="shared" si="20"/>
        <v xml:space="preserve">  127, // #32 = Button 9</v>
      </c>
      <c r="L34" s="22" t="str">
        <f t="shared" si="21"/>
        <v xml:space="preserve">  28, // #32 = Button 9</v>
      </c>
      <c r="M34" s="22" t="str">
        <f t="shared" si="22"/>
        <v xml:space="preserve">  0, // #32 = Button 9</v>
      </c>
      <c r="O34" s="21"/>
    </row>
    <row r="35" spans="1:15" x14ac:dyDescent="0.25">
      <c r="A35" s="3">
        <f t="shared" si="5"/>
        <v>33</v>
      </c>
      <c r="B35" s="2" t="s">
        <v>81</v>
      </c>
      <c r="C35" s="2">
        <f>A99</f>
        <v>0</v>
      </c>
      <c r="D35" s="2">
        <v>-1</v>
      </c>
      <c r="E35" s="2">
        <v>127</v>
      </c>
      <c r="F35" s="2">
        <v>29</v>
      </c>
      <c r="G35" s="19" t="s">
        <v>82</v>
      </c>
      <c r="H35" s="22" t="str">
        <f t="shared" si="17"/>
        <v xml:space="preserve">  m_btn10, // #33 = Button 10</v>
      </c>
      <c r="I35" s="2" t="str">
        <f t="shared" si="18"/>
        <v xml:space="preserve">  { "Button 10" },  // #33 </v>
      </c>
      <c r="J35" s="22" t="str">
        <f t="shared" si="19"/>
        <v xml:space="preserve">  -1, // #33 = Button 10</v>
      </c>
      <c r="K35" s="22" t="str">
        <f t="shared" si="20"/>
        <v xml:space="preserve">  127, // #33 = Button 10</v>
      </c>
      <c r="L35" s="22" t="str">
        <f t="shared" si="21"/>
        <v xml:space="preserve">  29, // #33 = Button 10</v>
      </c>
      <c r="M35" s="22" t="str">
        <f t="shared" si="22"/>
        <v xml:space="preserve">  0, // #33 = Button 10</v>
      </c>
      <c r="O35" s="21"/>
    </row>
    <row r="36" spans="1:15" x14ac:dyDescent="0.25">
      <c r="A36" s="3">
        <f t="shared" si="5"/>
        <v>34</v>
      </c>
      <c r="B36" s="2" t="s">
        <v>83</v>
      </c>
      <c r="C36" s="2">
        <f>A100</f>
        <v>0</v>
      </c>
      <c r="D36" s="2">
        <v>-1</v>
      </c>
      <c r="E36" s="2">
        <v>127</v>
      </c>
      <c r="F36" s="2">
        <v>30</v>
      </c>
      <c r="G36" s="19" t="s">
        <v>84</v>
      </c>
      <c r="H36" s="22" t="str">
        <f t="shared" si="17"/>
        <v xml:space="preserve">  m_btn11, // #34 = Button 11</v>
      </c>
      <c r="I36" s="2" t="str">
        <f t="shared" si="18"/>
        <v xml:space="preserve">  { "Button 11" },  // #34 </v>
      </c>
      <c r="J36" s="22" t="str">
        <f t="shared" si="19"/>
        <v xml:space="preserve">  -1, // #34 = Button 11</v>
      </c>
      <c r="K36" s="22" t="str">
        <f t="shared" si="20"/>
        <v xml:space="preserve">  127, // #34 = Button 11</v>
      </c>
      <c r="L36" s="22" t="str">
        <f t="shared" si="21"/>
        <v xml:space="preserve">  30, // #34 = Button 11</v>
      </c>
      <c r="M36" s="22" t="str">
        <f t="shared" si="22"/>
        <v xml:space="preserve">  0, // #34 = Button 11</v>
      </c>
      <c r="O36" s="21"/>
    </row>
    <row r="37" spans="1:15" x14ac:dyDescent="0.25">
      <c r="A37" s="3">
        <f t="shared" si="5"/>
        <v>35</v>
      </c>
      <c r="B37" s="2" t="s">
        <v>85</v>
      </c>
      <c r="C37" s="2">
        <f>A101</f>
        <v>0</v>
      </c>
      <c r="D37" s="2">
        <v>-1</v>
      </c>
      <c r="E37" s="2">
        <v>127</v>
      </c>
      <c r="F37" s="2">
        <v>31</v>
      </c>
      <c r="G37" s="19" t="s">
        <v>86</v>
      </c>
      <c r="H37" s="22" t="str">
        <f t="shared" si="17"/>
        <v xml:space="preserve">  m_btn12, // #35 = Button 12</v>
      </c>
      <c r="I37" s="2" t="str">
        <f t="shared" si="18"/>
        <v xml:space="preserve">  { "Button 12" },  // #35 </v>
      </c>
      <c r="J37" s="22" t="str">
        <f t="shared" si="19"/>
        <v xml:space="preserve">  -1, // #35 = Button 12</v>
      </c>
      <c r="K37" s="22" t="str">
        <f t="shared" si="20"/>
        <v xml:space="preserve">  127, // #35 = Button 12</v>
      </c>
      <c r="L37" s="22" t="str">
        <f t="shared" si="21"/>
        <v xml:space="preserve">  31, // #35 = Button 12</v>
      </c>
      <c r="M37" s="22" t="str">
        <f t="shared" si="22"/>
        <v xml:space="preserve">  0, // #35 = Button 12</v>
      </c>
      <c r="O37" s="21"/>
    </row>
    <row r="38" spans="1:15" x14ac:dyDescent="0.25">
      <c r="A38" s="3">
        <f t="shared" si="5"/>
        <v>36</v>
      </c>
      <c r="B38" s="2" t="s">
        <v>87</v>
      </c>
      <c r="C38" s="2">
        <f>A102</f>
        <v>0</v>
      </c>
      <c r="D38" s="2">
        <v>-1</v>
      </c>
      <c r="E38" s="2">
        <v>127</v>
      </c>
      <c r="F38" s="2">
        <v>32</v>
      </c>
      <c r="G38" s="19" t="s">
        <v>88</v>
      </c>
      <c r="H38" s="22" t="str">
        <f t="shared" si="17"/>
        <v xml:space="preserve">  m_btn13, // #36 = Button 13</v>
      </c>
      <c r="I38" s="2" t="str">
        <f t="shared" si="18"/>
        <v xml:space="preserve">  { "Button 13" },  // #36 </v>
      </c>
      <c r="J38" s="22" t="str">
        <f t="shared" si="19"/>
        <v xml:space="preserve">  -1, // #36 = Button 13</v>
      </c>
      <c r="K38" s="22" t="str">
        <f t="shared" si="20"/>
        <v xml:space="preserve">  127, // #36 = Button 13</v>
      </c>
      <c r="L38" s="22" t="str">
        <f t="shared" si="21"/>
        <v xml:space="preserve">  32, // #36 = Button 13</v>
      </c>
      <c r="M38" s="22" t="str">
        <f t="shared" si="22"/>
        <v xml:space="preserve">  0, // #36 = Button 13</v>
      </c>
      <c r="O38" s="21"/>
    </row>
    <row r="39" spans="1:15" x14ac:dyDescent="0.25">
      <c r="A39" s="3">
        <f t="shared" si="5"/>
        <v>37</v>
      </c>
      <c r="B39" s="2" t="s">
        <v>89</v>
      </c>
      <c r="C39" s="2">
        <f>A103</f>
        <v>0</v>
      </c>
      <c r="D39" s="2">
        <v>-1</v>
      </c>
      <c r="E39" s="2">
        <v>127</v>
      </c>
      <c r="F39" s="2">
        <v>33</v>
      </c>
      <c r="G39" s="19" t="s">
        <v>90</v>
      </c>
      <c r="H39" s="22" t="str">
        <f t="shared" si="17"/>
        <v xml:space="preserve">  m_btn14, // #37 = Button 14</v>
      </c>
      <c r="I39" s="2" t="str">
        <f t="shared" si="18"/>
        <v xml:space="preserve">  { "Button 14" },  // #37 </v>
      </c>
      <c r="J39" s="22" t="str">
        <f t="shared" si="19"/>
        <v xml:space="preserve">  -1, // #37 = Button 14</v>
      </c>
      <c r="K39" s="22" t="str">
        <f t="shared" si="20"/>
        <v xml:space="preserve">  127, // #37 = Button 14</v>
      </c>
      <c r="L39" s="22" t="str">
        <f t="shared" si="21"/>
        <v xml:space="preserve">  33, // #37 = Button 14</v>
      </c>
      <c r="M39" s="22" t="str">
        <f t="shared" si="22"/>
        <v xml:space="preserve">  0, // #37 = Button 14</v>
      </c>
      <c r="O39" s="21"/>
    </row>
    <row r="40" spans="1:15" x14ac:dyDescent="0.25">
      <c r="A40" s="3">
        <f t="shared" si="5"/>
        <v>38</v>
      </c>
      <c r="B40" s="2" t="s">
        <v>91</v>
      </c>
      <c r="C40" s="2">
        <f>A104</f>
        <v>0</v>
      </c>
      <c r="D40" s="2">
        <v>-1</v>
      </c>
      <c r="E40" s="2">
        <v>127</v>
      </c>
      <c r="F40" s="2">
        <v>34</v>
      </c>
      <c r="G40" s="19" t="s">
        <v>92</v>
      </c>
      <c r="H40" s="22" t="str">
        <f t="shared" si="17"/>
        <v xml:space="preserve">  m_btn15, // #38 = Button 15</v>
      </c>
      <c r="I40" s="2" t="str">
        <f t="shared" si="18"/>
        <v xml:space="preserve">  { "Button 15" },  // #38 </v>
      </c>
      <c r="J40" s="22" t="str">
        <f t="shared" si="19"/>
        <v xml:space="preserve">  -1, // #38 = Button 15</v>
      </c>
      <c r="K40" s="22" t="str">
        <f t="shared" si="20"/>
        <v xml:space="preserve">  127, // #38 = Button 15</v>
      </c>
      <c r="L40" s="22" t="str">
        <f t="shared" si="21"/>
        <v xml:space="preserve">  34, // #38 = Button 15</v>
      </c>
      <c r="M40" s="22" t="str">
        <f t="shared" si="22"/>
        <v xml:space="preserve">  0, // #38 = Button 15</v>
      </c>
      <c r="O40" s="21"/>
    </row>
    <row r="41" spans="1:15" x14ac:dyDescent="0.25">
      <c r="A41" s="3">
        <f t="shared" si="5"/>
        <v>39</v>
      </c>
      <c r="B41" s="2" t="s">
        <v>93</v>
      </c>
      <c r="C41" s="2">
        <f>A105</f>
        <v>0</v>
      </c>
      <c r="D41" s="2">
        <v>-1</v>
      </c>
      <c r="E41" s="2">
        <v>127</v>
      </c>
      <c r="F41" s="2">
        <v>35</v>
      </c>
      <c r="G41" s="19" t="s">
        <v>94</v>
      </c>
      <c r="H41" s="22" t="str">
        <f t="shared" si="17"/>
        <v xml:space="preserve">  m_btn16, // #39 = Button 16</v>
      </c>
      <c r="I41" s="2" t="str">
        <f t="shared" si="18"/>
        <v xml:space="preserve">  { "Button 16" },  // #39 </v>
      </c>
      <c r="J41" s="22" t="str">
        <f t="shared" si="19"/>
        <v xml:space="preserve">  -1, // #39 = Button 16</v>
      </c>
      <c r="K41" s="22" t="str">
        <f t="shared" si="20"/>
        <v xml:space="preserve">  127, // #39 = Button 16</v>
      </c>
      <c r="L41" s="22" t="str">
        <f t="shared" si="21"/>
        <v xml:space="preserve">  35, // #39 = Button 16</v>
      </c>
      <c r="M41" s="22" t="str">
        <f t="shared" si="22"/>
        <v xml:space="preserve">  0, // #39 = Button 16</v>
      </c>
      <c r="O41" s="21"/>
    </row>
    <row r="42" spans="1:15" x14ac:dyDescent="0.25">
      <c r="A42" s="3">
        <f t="shared" si="5"/>
        <v>40</v>
      </c>
      <c r="B42" s="3" t="s">
        <v>8</v>
      </c>
      <c r="C42" s="3">
        <v>-1</v>
      </c>
      <c r="D42" s="3">
        <v>0</v>
      </c>
      <c r="E42" s="3">
        <v>0</v>
      </c>
      <c r="F42" s="3">
        <v>0</v>
      </c>
      <c r="G42" s="24" t="s">
        <v>17</v>
      </c>
      <c r="H42" s="22" t="str">
        <f>CONCATENATE("  ",G42,", // #",A42," = ",B42,IF(C42&lt;0," EXIT ",""))</f>
        <v xml:space="preserve">  m_btn_back, // #40 = Button Assign EXIT </v>
      </c>
      <c r="I42" s="2" t="str">
        <f>CONCATENATE("  { """,B42,""" },  // #",A42," ",IF(C42&lt;0," EXIT SUBM",""))</f>
        <v xml:space="preserve">  { "Button Assign" },  // #40  EXIT SUBM</v>
      </c>
      <c r="J42" s="22" t="str">
        <f>CONCATENATE("  ",D42,", // #",A42," = ",B42,IF(C42&lt;0," EXIT ",""))</f>
        <v xml:space="preserve">  0, // #40 = Button Assign EXIT </v>
      </c>
      <c r="K42" s="22" t="str">
        <f>CONCATENATE("  ",E42,", // #",A42," = ",B42,IF(C42&lt;0," EXIT ",""))</f>
        <v xml:space="preserve">  0, // #40 = Button Assign EXIT </v>
      </c>
      <c r="L42" s="22" t="str">
        <f>CONCATENATE("  ",F42,", // #",A42," = ",B42,IF(C42&lt;0," EXIT ",""))</f>
        <v xml:space="preserve">  0, // #40 = Button Assign EXIT </v>
      </c>
      <c r="M42" s="22" t="str">
        <f>CONCATENATE("  ",C42,", // #",A42," = ",B42,IF(C42&lt;0," EXIT ",""))</f>
        <v xml:space="preserve">  -1, // #40 = Button Assign EXIT </v>
      </c>
      <c r="O42" s="21"/>
    </row>
    <row r="43" spans="1:15" x14ac:dyDescent="0.25">
      <c r="A43" s="3">
        <f t="shared" si="5"/>
        <v>41</v>
      </c>
      <c r="B43" s="2" t="s">
        <v>4</v>
      </c>
      <c r="C43" s="2">
        <f>A78</f>
        <v>0</v>
      </c>
      <c r="D43" s="2">
        <v>0</v>
      </c>
      <c r="E43" s="25" t="s">
        <v>41</v>
      </c>
      <c r="F43" s="2" t="s">
        <v>34</v>
      </c>
      <c r="G43" s="19" t="s">
        <v>46</v>
      </c>
      <c r="H43" s="22" t="str">
        <f>CONCATENATE("  ",G43,", // #",A43," = ",B43,IF(C43&lt;0," EXIT ",""))</f>
        <v xml:space="preserve">  m_driver_type, // #41 = Kbd Driver</v>
      </c>
      <c r="I43" s="2" t="str">
        <f>CONCATENATE("  { """,B43,""" },  // #",A43," ",IF(C43&lt;0," EXIT SUBM",""))</f>
        <v xml:space="preserve">  { "Kbd Driver" },  // #41 </v>
      </c>
      <c r="J43" s="22" t="str">
        <f>CONCATENATE("  ",D43,", // #",A43," = ",B43,IF(C43&lt;0," EXIT ",""))</f>
        <v xml:space="preserve">  0, // #41 = Kbd Driver</v>
      </c>
      <c r="K43" s="22" t="str">
        <f>CONCATENATE("  ",E43,", // #",A43," = ",B43,IF(C43&lt;0," EXIT ",""))</f>
        <v xml:space="preserve">  drv_custom, // #41 = Kbd Driver</v>
      </c>
      <c r="L43" s="22" t="str">
        <f>CONCATENATE("  ",F43,", // #",A43," = ",B43,IF(C43&lt;0," EXIT ",""))</f>
        <v xml:space="preserve">  drv_fatar1, // #41 = Kbd Driver</v>
      </c>
      <c r="M43" s="22" t="str">
        <f>CONCATENATE("  ",C43,", // #",A43," = ",B43,IF(C43&lt;0," EXIT ",""))</f>
        <v xml:space="preserve">  0, // #41 = Kbd Driver</v>
      </c>
      <c r="O43" s="21"/>
    </row>
    <row r="44" spans="1:15" x14ac:dyDescent="0.25">
      <c r="A44" s="3">
        <f t="shared" si="5"/>
        <v>42</v>
      </c>
      <c r="B44" s="2" t="s">
        <v>5</v>
      </c>
      <c r="C44" s="2">
        <f>A94</f>
        <v>0</v>
      </c>
      <c r="D44" s="2">
        <v>1</v>
      </c>
      <c r="E44" s="2">
        <v>40</v>
      </c>
      <c r="F44" s="2" t="s">
        <v>38</v>
      </c>
      <c r="G44" s="19" t="s">
        <v>47</v>
      </c>
      <c r="H44" s="22" t="str">
        <f>CONCATENATE("  ",G44,", // #",A44," = ",B44,IF(C44&lt;0," EXIT ",""))</f>
        <v xml:space="preserve">  m_mindyn, // #42 = Velocity Min</v>
      </c>
      <c r="I44" s="2" t="str">
        <f>CONCATENATE("  { """,B44,""" },  // #",A44," ",IF(C44&lt;0," EXIT SUBM",""))</f>
        <v xml:space="preserve">  { "Velocity Min" },  // #42 </v>
      </c>
      <c r="J44" s="22" t="str">
        <f>CONCATENATE("  ",D44,", // #",A44," = ",B44,IF(C44&lt;0," EXIT ",""))</f>
        <v xml:space="preserve">  1, // #42 = Velocity Min</v>
      </c>
      <c r="K44" s="22" t="str">
        <f>CONCATENATE("  ",E44,", // #",A44," = ",B44,IF(C44&lt;0," EXIT ",""))</f>
        <v xml:space="preserve">  40, // #42 = Velocity Min</v>
      </c>
      <c r="L44" s="22" t="str">
        <f>CONCATENATE("  ",F44,", // #",A44," = ",B44,IF(C44&lt;0," EXIT ",""))</f>
        <v xml:space="preserve">  MIDI_MINDYN, // #42 = Velocity Min</v>
      </c>
      <c r="M44" s="22" t="str">
        <f>CONCATENATE("  ",C44,", // #",A44," = ",B44,IF(C44&lt;0," EXIT ",""))</f>
        <v xml:space="preserve">  0, // #42 = Velocity Min</v>
      </c>
      <c r="O44" s="21"/>
    </row>
    <row r="45" spans="1:15" x14ac:dyDescent="0.25">
      <c r="A45" s="3">
        <f t="shared" si="5"/>
        <v>43</v>
      </c>
      <c r="B45" s="2" t="s">
        <v>63</v>
      </c>
      <c r="C45" s="2">
        <f>A94</f>
        <v>0</v>
      </c>
      <c r="D45" s="2">
        <v>1</v>
      </c>
      <c r="E45" s="2">
        <v>40</v>
      </c>
      <c r="F45" s="2" t="s">
        <v>39</v>
      </c>
      <c r="G45" s="19" t="s">
        <v>48</v>
      </c>
      <c r="H45" s="22" t="str">
        <f>CONCATENATE("  ",G45,", // #",A45," = ",B45,IF(C45&lt;0," EXIT ",""))</f>
        <v xml:space="preserve">  m_maxdynadj, // #43 = Velocity MaxAdj</v>
      </c>
      <c r="I45" s="2" t="str">
        <f>CONCATENATE("  { """,B45,""" },  // #",A45," ",IF(C45&lt;0," EXIT SUBM",""))</f>
        <v xml:space="preserve">  { "Velocity MaxAdj" },  // #43 </v>
      </c>
      <c r="J45" s="22" t="str">
        <f>CONCATENATE("  ",D45,", // #",A45," = ",B45,IF(C45&lt;0," EXIT ",""))</f>
        <v xml:space="preserve">  1, // #43 = Velocity MaxAdj</v>
      </c>
      <c r="K45" s="22" t="str">
        <f>CONCATENATE("  ",E45,", // #",A45," = ",B45,IF(C45&lt;0," EXIT ",""))</f>
        <v xml:space="preserve">  40, // #43 = Velocity MaxAdj</v>
      </c>
      <c r="L45" s="22" t="str">
        <f>CONCATENATE("  ",F45,", // #",A45," = ",B45,IF(C45&lt;0," EXIT ",""))</f>
        <v xml:space="preserve">  MIDI_MAXDYNADJ, // #43 = Velocity MaxAdj</v>
      </c>
      <c r="M45" s="22" t="str">
        <f>CONCATENATE("  ",C45,", // #",A45," = ",B45,IF(C45&lt;0," EXIT ",""))</f>
        <v xml:space="preserve">  0, // #43 = Velocity MaxAdj</v>
      </c>
      <c r="O45" s="21"/>
    </row>
    <row r="46" spans="1:15" x14ac:dyDescent="0.25">
      <c r="A46" s="3">
        <f t="shared" si="5"/>
        <v>44</v>
      </c>
      <c r="B46" s="2" t="s">
        <v>6</v>
      </c>
      <c r="C46" s="2">
        <f>A94</f>
        <v>0</v>
      </c>
      <c r="D46" s="2">
        <v>1</v>
      </c>
      <c r="E46" s="2">
        <v>30</v>
      </c>
      <c r="F46" s="2" t="s">
        <v>40</v>
      </c>
      <c r="G46" s="19" t="s">
        <v>49</v>
      </c>
      <c r="H46" s="22" t="str">
        <f>CONCATENATE("  ",G46,", // #",A46," = ",B46,IF(C46&lt;0," EXIT ",""))</f>
        <v xml:space="preserve">  m_slope, // #44 = Velocity Slope</v>
      </c>
      <c r="I46" s="2" t="str">
        <f>CONCATENATE("  { """,B46,""" },  // #",A46," ",IF(C46&lt;0," EXIT SUBM",""))</f>
        <v xml:space="preserve">  { "Velocity Slope" },  // #44 </v>
      </c>
      <c r="J46" s="22" t="str">
        <f>CONCATENATE("  ",D46,", // #",A46," = ",B46,IF(C46&lt;0," EXIT ",""))</f>
        <v xml:space="preserve">  1, // #44 = Velocity Slope</v>
      </c>
      <c r="K46" s="22" t="str">
        <f>CONCATENATE("  ",E46,", // #",A46," = ",B46,IF(C46&lt;0," EXIT ",""))</f>
        <v xml:space="preserve">  30, // #44 = Velocity Slope</v>
      </c>
      <c r="L46" s="22" t="str">
        <f>CONCATENATE("  ",F46,", // #",A46," = ",B46,IF(C46&lt;0," EXIT ",""))</f>
        <v xml:space="preserve">  MIDI_DYNSLOPE, // #44 = Velocity Slope</v>
      </c>
      <c r="M46" s="22" t="str">
        <f>CONCATENATE("  ",C46,", // #",A46," = ",B46,IF(C46&lt;0," EXIT ",""))</f>
        <v xml:space="preserve">  0, // #44 = Velocity Slope</v>
      </c>
      <c r="O46" s="21"/>
    </row>
    <row r="47" spans="1:15" x14ac:dyDescent="0.25">
      <c r="A47" s="3">
        <f t="shared" si="5"/>
        <v>45</v>
      </c>
      <c r="B47" s="2" t="s">
        <v>18</v>
      </c>
      <c r="C47" s="2">
        <v>0</v>
      </c>
      <c r="D47" s="2">
        <v>12</v>
      </c>
      <c r="E47" s="2">
        <v>60</v>
      </c>
      <c r="F47" s="2" t="s">
        <v>35</v>
      </c>
      <c r="G47" s="19" t="s">
        <v>50</v>
      </c>
      <c r="H47" s="22" t="str">
        <f>CONCATENATE("  ",G47,", // #",A47," = ",B47,IF(C47&lt;0," EXIT ",""))</f>
        <v xml:space="preserve">  m_upper_base, // #45 = Upper Base</v>
      </c>
      <c r="I47" s="2" t="str">
        <f>CONCATENATE("  { """,B47,""" },  // #",A47," ",IF(C47&lt;0," EXIT SUBM",""))</f>
        <v xml:space="preserve">  { "Upper Base" },  // #45 </v>
      </c>
      <c r="J47" s="22" t="str">
        <f>CONCATENATE("  ",D47,", // #",A47," = ",B47,IF(C47&lt;0," EXIT ",""))</f>
        <v xml:space="preserve">  12, // #45 = Upper Base</v>
      </c>
      <c r="K47" s="22" t="str">
        <f>CONCATENATE("  ",E47,", // #",A47," = ",B47,IF(C47&lt;0," EXIT ",""))</f>
        <v xml:space="preserve">  60, // #45 = Upper Base</v>
      </c>
      <c r="L47" s="22" t="str">
        <f>CONCATENATE("  ",F47,", // #",A47," = ",B47,IF(C47&lt;0," EXIT ",""))</f>
        <v xml:space="preserve">  MIDI_BASE_UPR, // #45 = Upper Base</v>
      </c>
      <c r="M47" s="22" t="str">
        <f>CONCATENATE("  ",C47,", // #",A47," = ",B47,IF(C47&lt;0," EXIT ",""))</f>
        <v xml:space="preserve">  0, // #45 = Upper Base</v>
      </c>
      <c r="O47" s="21"/>
    </row>
    <row r="48" spans="1:15" x14ac:dyDescent="0.25">
      <c r="A48" s="3">
        <f t="shared" si="5"/>
        <v>46</v>
      </c>
      <c r="B48" s="2" t="s">
        <v>19</v>
      </c>
      <c r="C48" s="2">
        <v>0</v>
      </c>
      <c r="D48" s="2">
        <v>12</v>
      </c>
      <c r="E48" s="2">
        <v>60</v>
      </c>
      <c r="F48" s="2" t="s">
        <v>36</v>
      </c>
      <c r="G48" s="19" t="s">
        <v>51</v>
      </c>
      <c r="H48" s="22" t="str">
        <f>CONCATENATE("  ",G48,", // #",A48," = ",B48,IF(C48&lt;0," EXIT ",""))</f>
        <v xml:space="preserve">  m_lower_base, // #46 = Lower Base</v>
      </c>
      <c r="I48" s="2" t="str">
        <f>CONCATENATE("  { """,B48,""" },  // #",A48," ",IF(C48&lt;0," EXIT SUBM",""))</f>
        <v xml:space="preserve">  { "Lower Base" },  // #46 </v>
      </c>
      <c r="J48" s="22" t="str">
        <f>CONCATENATE("  ",D48,", // #",A48," = ",B48,IF(C48&lt;0," EXIT ",""))</f>
        <v xml:space="preserve">  12, // #46 = Lower Base</v>
      </c>
      <c r="K48" s="22" t="str">
        <f>CONCATENATE("  ",E48,", // #",A48," = ",B48,IF(C48&lt;0," EXIT ",""))</f>
        <v xml:space="preserve">  60, // #46 = Lower Base</v>
      </c>
      <c r="L48" s="22" t="str">
        <f>CONCATENATE("  ",F48,", // #",A48," = ",B48,IF(C48&lt;0," EXIT ",""))</f>
        <v xml:space="preserve">  MIDI_BASE_LWR, // #46 = Lower Base</v>
      </c>
      <c r="M48" s="22" t="str">
        <f>CONCATENATE("  ",C48,", // #",A48," = ",B48,IF(C48&lt;0," EXIT ",""))</f>
        <v xml:space="preserve">  0, // #46 = Lower Base</v>
      </c>
      <c r="O48" s="21"/>
    </row>
    <row r="49" spans="1:15" x14ac:dyDescent="0.25">
      <c r="A49" s="3">
        <f t="shared" si="5"/>
        <v>47</v>
      </c>
      <c r="B49" s="2" t="s">
        <v>20</v>
      </c>
      <c r="C49" s="2">
        <v>0</v>
      </c>
      <c r="D49" s="2">
        <v>12</v>
      </c>
      <c r="E49" s="2">
        <v>60</v>
      </c>
      <c r="F49" s="2" t="s">
        <v>37</v>
      </c>
      <c r="G49" s="19" t="s">
        <v>52</v>
      </c>
      <c r="H49" s="22" t="str">
        <f>CONCATENATE("  ",G49,", // #",A49," = ",B49,IF(C49&lt;0," EXIT ",""))</f>
        <v xml:space="preserve">  m_pedal_base, // #47 = Pedal Base</v>
      </c>
      <c r="I49" s="2" t="str">
        <f>CONCATENATE("  { """,B49,""" },  // #",A49," ",IF(C49&lt;0," EXIT SUBM",""))</f>
        <v xml:space="preserve">  { "Pedal Base" },  // #47 </v>
      </c>
      <c r="J49" s="22" t="str">
        <f>CONCATENATE("  ",D49,", // #",A49," = ",B49,IF(C49&lt;0," EXIT ",""))</f>
        <v xml:space="preserve">  12, // #47 = Pedal Base</v>
      </c>
      <c r="K49" s="22" t="str">
        <f>CONCATENATE("  ",E49,", // #",A49," = ",B49,IF(C49&lt;0," EXIT ",""))</f>
        <v xml:space="preserve">  60, // #47 = Pedal Base</v>
      </c>
      <c r="L49" s="22" t="str">
        <f>CONCATENATE("  ",F49,", // #",A49," = ",B49,IF(C49&lt;0," EXIT ",""))</f>
        <v xml:space="preserve">  MIDI_BASE_PED, // #47 = Pedal Base</v>
      </c>
      <c r="M49" s="22" t="str">
        <f>CONCATENATE("  ",C49,", // #",A49," = ",B49,IF(C49&lt;0," EXIT ",""))</f>
        <v xml:space="preserve">  0, // #47 = Pedal Base</v>
      </c>
      <c r="O49" s="21"/>
    </row>
    <row r="50" spans="1:15" x14ac:dyDescent="0.25">
      <c r="A50" s="3">
        <f t="shared" si="5"/>
        <v>48</v>
      </c>
      <c r="B50" s="3" t="s">
        <v>64</v>
      </c>
      <c r="C50" s="3">
        <v>-1</v>
      </c>
      <c r="D50" s="3">
        <v>0</v>
      </c>
      <c r="E50" s="3">
        <v>0</v>
      </c>
      <c r="F50" s="3">
        <v>0</v>
      </c>
      <c r="G50" s="24" t="s">
        <v>65</v>
      </c>
      <c r="H50" s="22" t="str">
        <f>CONCATENATE("  ",G50,", // #",A50," = ",B50,IF(C50&lt;0," EXIT ",""))</f>
        <v xml:space="preserve">  m_kbd_back, // #48 = Keyboard EXIT </v>
      </c>
      <c r="I50" s="2" t="str">
        <f>CONCATENATE("  { """,B50,""" },  // #",A50," ",IF(C50&lt;0," EXIT SUBM",""))</f>
        <v xml:space="preserve">  { "Keyboard" },  // #48  EXIT SUBM</v>
      </c>
      <c r="J50" s="22" t="str">
        <f>CONCATENATE("  ",D50,", // #",A50," = ",B50,IF(C50&lt;0," EXIT ",""))</f>
        <v xml:space="preserve">  0, // #48 = Keyboard EXIT </v>
      </c>
      <c r="K50" s="22" t="str">
        <f>CONCATENATE("  ",E50,", // #",A50," = ",B50,IF(C50&lt;0," EXIT ",""))</f>
        <v xml:space="preserve">  0, // #48 = Keyboard EXIT </v>
      </c>
      <c r="L50" s="22" t="str">
        <f>CONCATENATE("  ",F50,", // #",A50," = ",B50,IF(C50&lt;0," EXIT ",""))</f>
        <v xml:space="preserve">  0, // #48 = Keyboard EXIT </v>
      </c>
      <c r="M50" s="22" t="str">
        <f>CONCATENATE("  ",C50,", // #",A50," = ",B50,IF(C50&lt;0," EXIT ",""))</f>
        <v xml:space="preserve">  -1, // #48 = Keyboard EXIT </v>
      </c>
      <c r="O50" s="21"/>
    </row>
    <row r="51" spans="1:15" x14ac:dyDescent="0.25">
      <c r="A51" s="3"/>
      <c r="G51" s="19"/>
      <c r="H51" s="18" t="s">
        <v>23</v>
      </c>
      <c r="I51" s="2" t="s">
        <v>23</v>
      </c>
      <c r="J51" s="2" t="s">
        <v>23</v>
      </c>
      <c r="K51" s="2" t="s">
        <v>23</v>
      </c>
      <c r="L51" s="2" t="s">
        <v>23</v>
      </c>
      <c r="M51" s="2" t="s">
        <v>23</v>
      </c>
      <c r="O51" s="21"/>
    </row>
    <row r="52" spans="1:15" x14ac:dyDescent="0.25">
      <c r="A52" s="3"/>
      <c r="H52" s="19"/>
      <c r="O52" s="21"/>
    </row>
    <row r="53" spans="1:15" x14ac:dyDescent="0.25">
      <c r="O53" s="21"/>
    </row>
    <row r="54" spans="1:15" x14ac:dyDescent="0.25">
      <c r="O54" s="21"/>
    </row>
    <row r="55" spans="1:15" x14ac:dyDescent="0.25">
      <c r="O55" s="21"/>
    </row>
    <row r="56" spans="1:15" x14ac:dyDescent="0.25">
      <c r="O56" s="21"/>
    </row>
    <row r="57" spans="1:15" x14ac:dyDescent="0.25">
      <c r="O57" s="21"/>
    </row>
    <row r="58" spans="1:15" x14ac:dyDescent="0.25">
      <c r="O58" s="21"/>
    </row>
    <row r="59" spans="1:15" x14ac:dyDescent="0.25">
      <c r="O59" s="21"/>
    </row>
    <row r="60" spans="1:15" x14ac:dyDescent="0.25">
      <c r="O60" s="21"/>
    </row>
    <row r="61" spans="1:15" x14ac:dyDescent="0.25">
      <c r="O61" s="21"/>
    </row>
    <row r="62" spans="1:15" x14ac:dyDescent="0.25">
      <c r="O62" s="21"/>
    </row>
    <row r="63" spans="1:15" x14ac:dyDescent="0.25">
      <c r="O63" s="21"/>
    </row>
    <row r="64" spans="1:15" x14ac:dyDescent="0.25">
      <c r="A64" s="3"/>
      <c r="H64" s="19"/>
      <c r="O64" s="21"/>
    </row>
    <row r="65" spans="1:8" x14ac:dyDescent="0.25">
      <c r="A65" s="3"/>
      <c r="H65" s="19"/>
    </row>
    <row r="66" spans="1:8" x14ac:dyDescent="0.25">
      <c r="A66" s="3"/>
      <c r="H66" s="19"/>
    </row>
    <row r="67" spans="1:8" x14ac:dyDescent="0.25">
      <c r="A67" s="3"/>
      <c r="H67" s="19"/>
    </row>
    <row r="68" spans="1:8" x14ac:dyDescent="0.25">
      <c r="A68" s="3"/>
      <c r="H68" s="19"/>
    </row>
    <row r="69" spans="1:8" x14ac:dyDescent="0.25">
      <c r="A69" s="3"/>
      <c r="H69" s="19"/>
    </row>
    <row r="70" spans="1:8" x14ac:dyDescent="0.25">
      <c r="A70" s="3"/>
      <c r="B70" s="3"/>
      <c r="H70" s="19"/>
    </row>
    <row r="71" spans="1:8" x14ac:dyDescent="0.25">
      <c r="A71" s="3"/>
      <c r="B71" s="4"/>
      <c r="H71" s="19"/>
    </row>
    <row r="72" spans="1:8" x14ac:dyDescent="0.25">
      <c r="A72" s="3"/>
      <c r="B72" s="4"/>
      <c r="H72" s="19"/>
    </row>
    <row r="73" spans="1:8" x14ac:dyDescent="0.25">
      <c r="A73" s="3"/>
      <c r="B73" s="4"/>
      <c r="H73" s="19"/>
    </row>
    <row r="74" spans="1:8" x14ac:dyDescent="0.25">
      <c r="A74" s="3"/>
      <c r="B74" s="4"/>
      <c r="H74" s="19"/>
    </row>
    <row r="75" spans="1:8" x14ac:dyDescent="0.25">
      <c r="A75" s="3"/>
      <c r="B75" s="4"/>
      <c r="H75" s="19"/>
    </row>
    <row r="76" spans="1:8" x14ac:dyDescent="0.25">
      <c r="A76" s="3"/>
      <c r="B76" s="4"/>
      <c r="H76" s="19"/>
    </row>
    <row r="77" spans="1:8" x14ac:dyDescent="0.25">
      <c r="A77" s="3"/>
      <c r="B77" s="4"/>
      <c r="H77" s="19"/>
    </row>
    <row r="78" spans="1:8" x14ac:dyDescent="0.25">
      <c r="A78" s="1"/>
      <c r="B78" s="7"/>
      <c r="H78" s="19"/>
    </row>
    <row r="79" spans="1:8" x14ac:dyDescent="0.25">
      <c r="A79" s="3"/>
      <c r="H79" s="19"/>
    </row>
    <row r="80" spans="1:8" x14ac:dyDescent="0.25">
      <c r="A80" s="3"/>
      <c r="H80" s="19"/>
    </row>
    <row r="81" spans="1:8" x14ac:dyDescent="0.25">
      <c r="A81" s="3"/>
      <c r="H81" s="19"/>
    </row>
    <row r="82" spans="1:8" x14ac:dyDescent="0.25">
      <c r="A82" s="3"/>
      <c r="H82" s="19"/>
    </row>
    <row r="83" spans="1:8" x14ac:dyDescent="0.25">
      <c r="A83" s="3"/>
      <c r="B83" s="4"/>
      <c r="H83" s="19"/>
    </row>
    <row r="84" spans="1:8" x14ac:dyDescent="0.25">
      <c r="A84" s="3"/>
      <c r="B84" s="4"/>
      <c r="H84" s="19"/>
    </row>
    <row r="85" spans="1:8" x14ac:dyDescent="0.25">
      <c r="A85" s="3"/>
      <c r="B85" s="4"/>
      <c r="H85" s="19"/>
    </row>
    <row r="86" spans="1:8" x14ac:dyDescent="0.25">
      <c r="A86" s="3"/>
      <c r="B86" s="4"/>
      <c r="H86" s="19"/>
    </row>
    <row r="87" spans="1:8" x14ac:dyDescent="0.25">
      <c r="A87" s="3"/>
      <c r="B87" s="4"/>
      <c r="H87" s="19"/>
    </row>
    <row r="88" spans="1:8" x14ac:dyDescent="0.25">
      <c r="A88" s="3"/>
      <c r="B88" s="4"/>
      <c r="H88" s="19"/>
    </row>
    <row r="89" spans="1:8" x14ac:dyDescent="0.25">
      <c r="A89" s="3"/>
      <c r="B89" s="4"/>
      <c r="H89" s="19"/>
    </row>
    <row r="90" spans="1:8" x14ac:dyDescent="0.25">
      <c r="A90" s="1"/>
      <c r="B90" s="7"/>
      <c r="H90" s="19"/>
    </row>
    <row r="91" spans="1:8" x14ac:dyDescent="0.25">
      <c r="A91" s="3"/>
      <c r="H91" s="19"/>
    </row>
    <row r="92" spans="1:8" x14ac:dyDescent="0.25">
      <c r="A92" s="3"/>
      <c r="H92" s="19"/>
    </row>
    <row r="93" spans="1:8" x14ac:dyDescent="0.25">
      <c r="A93" s="1"/>
      <c r="B93" s="1"/>
      <c r="H93" s="19"/>
    </row>
    <row r="94" spans="1:8" x14ac:dyDescent="0.25">
      <c r="A94" s="1"/>
      <c r="B94" s="7"/>
      <c r="H94" s="19"/>
    </row>
    <row r="95" spans="1:8" x14ac:dyDescent="0.25">
      <c r="A95" s="3"/>
      <c r="H95" s="19"/>
    </row>
    <row r="96" spans="1:8" x14ac:dyDescent="0.25">
      <c r="A96" s="3"/>
      <c r="H96" s="19"/>
    </row>
    <row r="97" spans="1:10" x14ac:dyDescent="0.25">
      <c r="A97" s="3"/>
      <c r="H97" s="19"/>
    </row>
    <row r="98" spans="1:10" x14ac:dyDescent="0.25">
      <c r="A98" s="3"/>
      <c r="H98" s="19"/>
    </row>
    <row r="99" spans="1:10" x14ac:dyDescent="0.25">
      <c r="A99" s="3"/>
      <c r="H99" s="19"/>
    </row>
    <row r="100" spans="1:10" x14ac:dyDescent="0.25">
      <c r="A100" s="3"/>
      <c r="H100" s="19"/>
    </row>
    <row r="101" spans="1:10" x14ac:dyDescent="0.25">
      <c r="A101" s="3"/>
      <c r="C101" s="5"/>
      <c r="D101" s="5"/>
      <c r="E101" s="5"/>
      <c r="F101" s="5"/>
      <c r="H101" s="19"/>
      <c r="J101" s="5"/>
    </row>
    <row r="102" spans="1:10" x14ac:dyDescent="0.25">
      <c r="A102" s="3"/>
      <c r="C102" s="5"/>
      <c r="D102" s="5"/>
      <c r="E102" s="5"/>
      <c r="F102" s="5"/>
      <c r="H102" s="19"/>
      <c r="J102" s="5"/>
    </row>
    <row r="103" spans="1:10" x14ac:dyDescent="0.25">
      <c r="A103" s="3"/>
      <c r="C103" s="5"/>
      <c r="D103" s="5"/>
      <c r="E103" s="5"/>
      <c r="F103" s="5"/>
      <c r="H103" s="19"/>
      <c r="J103" s="5"/>
    </row>
    <row r="104" spans="1:10" x14ac:dyDescent="0.25">
      <c r="A104" s="3"/>
      <c r="C104" s="5"/>
      <c r="D104" s="5"/>
      <c r="E104" s="5"/>
      <c r="F104" s="5"/>
      <c r="H104" s="19"/>
      <c r="J104" s="5"/>
    </row>
    <row r="105" spans="1:10" x14ac:dyDescent="0.25">
      <c r="A105" s="3"/>
      <c r="C105" s="5"/>
      <c r="D105" s="5"/>
      <c r="E105" s="5"/>
      <c r="F105" s="5"/>
      <c r="H105" s="19"/>
      <c r="J105" s="5"/>
    </row>
    <row r="106" spans="1:10" x14ac:dyDescent="0.25">
      <c r="A106" s="3"/>
      <c r="C106" s="5"/>
      <c r="D106" s="5"/>
      <c r="E106" s="5"/>
      <c r="F106" s="5"/>
      <c r="H106" s="19"/>
      <c r="J106" s="5"/>
    </row>
    <row r="107" spans="1:10" x14ac:dyDescent="0.25">
      <c r="A107" s="3"/>
      <c r="C107" s="5"/>
      <c r="D107" s="5"/>
      <c r="E107" s="5"/>
      <c r="F107" s="5"/>
      <c r="H107" s="19"/>
      <c r="J107" s="5"/>
    </row>
    <row r="108" spans="1:10" x14ac:dyDescent="0.25">
      <c r="A108" s="3"/>
      <c r="C108" s="5"/>
      <c r="D108" s="5"/>
      <c r="E108" s="5"/>
      <c r="F108" s="5"/>
      <c r="H108" s="19"/>
      <c r="J108" s="5"/>
    </row>
    <row r="109" spans="1:10" x14ac:dyDescent="0.25">
      <c r="A109" s="3"/>
      <c r="C109" s="5"/>
      <c r="D109" s="5"/>
      <c r="E109" s="5"/>
      <c r="F109" s="5"/>
      <c r="H109" s="19"/>
      <c r="J109" s="5"/>
    </row>
    <row r="110" spans="1:10" x14ac:dyDescent="0.25">
      <c r="A110" s="3"/>
      <c r="C110" s="5"/>
      <c r="D110" s="5"/>
      <c r="E110" s="5"/>
      <c r="F110" s="5"/>
      <c r="H110" s="19"/>
      <c r="J110" s="5"/>
    </row>
    <row r="111" spans="1:10" x14ac:dyDescent="0.25">
      <c r="A111" s="3"/>
      <c r="C111" s="5"/>
      <c r="D111" s="5"/>
      <c r="E111" s="5"/>
      <c r="F111" s="5"/>
      <c r="H111" s="19"/>
      <c r="J111" s="5"/>
    </row>
    <row r="112" spans="1:10" x14ac:dyDescent="0.25">
      <c r="A112" s="3"/>
      <c r="C112" s="5"/>
      <c r="D112" s="5"/>
      <c r="E112" s="5"/>
      <c r="F112" s="5"/>
      <c r="H112" s="19"/>
      <c r="J112" s="5"/>
    </row>
    <row r="113" spans="1:10" x14ac:dyDescent="0.25">
      <c r="A113" s="3"/>
      <c r="C113" s="5"/>
      <c r="D113" s="5"/>
      <c r="E113" s="5"/>
      <c r="F113" s="5"/>
      <c r="H113" s="19"/>
      <c r="J113" s="5"/>
    </row>
    <row r="114" spans="1:10" x14ac:dyDescent="0.25">
      <c r="A114" s="1"/>
      <c r="B114" s="7"/>
      <c r="C114" s="5"/>
      <c r="D114" s="5"/>
      <c r="E114" s="5"/>
      <c r="F114" s="5"/>
      <c r="H114" s="19"/>
      <c r="J114" s="5"/>
    </row>
    <row r="115" spans="1:10" x14ac:dyDescent="0.25">
      <c r="A115" s="3"/>
      <c r="C115" s="5"/>
      <c r="D115" s="5"/>
      <c r="E115" s="5"/>
      <c r="F115" s="5"/>
      <c r="H115" s="19"/>
      <c r="J115" s="5"/>
    </row>
    <row r="116" spans="1:10" x14ac:dyDescent="0.25">
      <c r="A116" s="3"/>
      <c r="C116" s="5"/>
      <c r="D116" s="5"/>
      <c r="E116" s="5"/>
      <c r="F116" s="5"/>
      <c r="H116" s="19"/>
      <c r="J116" s="5"/>
    </row>
    <row r="117" spans="1:10" x14ac:dyDescent="0.25">
      <c r="A117" s="3"/>
      <c r="C117" s="5"/>
      <c r="D117" s="5"/>
      <c r="E117" s="5"/>
      <c r="F117" s="5"/>
      <c r="H117" s="19"/>
      <c r="J117" s="5"/>
    </row>
    <row r="118" spans="1:10" x14ac:dyDescent="0.25">
      <c r="A118" s="1"/>
      <c r="B118" s="7"/>
      <c r="C118" s="5"/>
      <c r="D118" s="5"/>
      <c r="E118" s="5"/>
      <c r="F118" s="5"/>
      <c r="H118" s="19"/>
      <c r="J118" s="5"/>
    </row>
    <row r="119" spans="1:10" x14ac:dyDescent="0.25">
      <c r="A119" s="3"/>
      <c r="C119" s="5"/>
      <c r="D119" s="5"/>
      <c r="E119" s="5"/>
      <c r="F119" s="5"/>
      <c r="H119" s="19"/>
      <c r="J119" s="5"/>
    </row>
    <row r="120" spans="1:10" x14ac:dyDescent="0.25">
      <c r="A120" s="3"/>
      <c r="C120" s="5"/>
      <c r="D120" s="5"/>
      <c r="E120" s="5"/>
      <c r="F120" s="5"/>
      <c r="H120" s="19"/>
      <c r="J120" s="5"/>
    </row>
    <row r="121" spans="1:10" x14ac:dyDescent="0.25">
      <c r="A121" s="3"/>
      <c r="C121" s="5"/>
      <c r="D121" s="5"/>
      <c r="E121" s="5"/>
      <c r="F121" s="5"/>
      <c r="H121" s="19"/>
      <c r="J121" s="5"/>
    </row>
    <row r="122" spans="1:10" x14ac:dyDescent="0.25">
      <c r="A122" s="3"/>
      <c r="C122" s="5"/>
      <c r="D122" s="5"/>
      <c r="E122" s="5"/>
      <c r="F122" s="5"/>
      <c r="H122" s="19"/>
      <c r="J122" s="5"/>
    </row>
    <row r="123" spans="1:10" x14ac:dyDescent="0.25">
      <c r="A123" s="3"/>
      <c r="C123" s="5"/>
      <c r="D123" s="5"/>
      <c r="E123" s="5"/>
      <c r="F123" s="5"/>
      <c r="H123" s="19"/>
      <c r="J123" s="5"/>
    </row>
    <row r="124" spans="1:10" x14ac:dyDescent="0.25">
      <c r="A124" s="3"/>
      <c r="C124" s="5"/>
      <c r="D124" s="5"/>
      <c r="E124" s="5"/>
      <c r="F124" s="5"/>
      <c r="H124" s="19"/>
      <c r="J124" s="5"/>
    </row>
    <row r="125" spans="1:10" x14ac:dyDescent="0.25">
      <c r="A125" s="3"/>
      <c r="C125" s="5"/>
      <c r="D125" s="5"/>
      <c r="E125" s="5"/>
      <c r="F125" s="5"/>
      <c r="H125" s="19"/>
      <c r="J125" s="5"/>
    </row>
    <row r="126" spans="1:10" x14ac:dyDescent="0.25">
      <c r="A126" s="3"/>
      <c r="C126" s="5"/>
      <c r="D126" s="5"/>
      <c r="E126" s="5"/>
      <c r="F126" s="5"/>
      <c r="H126" s="19"/>
      <c r="J126" s="5"/>
    </row>
    <row r="127" spans="1:10" x14ac:dyDescent="0.25">
      <c r="A127" s="3"/>
      <c r="C127" s="5"/>
      <c r="D127" s="5"/>
      <c r="E127" s="5"/>
      <c r="F127" s="5"/>
      <c r="H127" s="19"/>
      <c r="J127" s="5"/>
    </row>
    <row r="128" spans="1:10" x14ac:dyDescent="0.25">
      <c r="A128" s="3"/>
      <c r="C128" s="5"/>
      <c r="D128" s="5"/>
      <c r="E128" s="5"/>
      <c r="F128" s="5"/>
      <c r="H128" s="19"/>
      <c r="J128" s="5"/>
    </row>
    <row r="129" spans="1:10" x14ac:dyDescent="0.25">
      <c r="A129" s="3"/>
      <c r="C129" s="5"/>
      <c r="D129" s="5"/>
      <c r="E129" s="5"/>
      <c r="F129" s="5"/>
      <c r="H129" s="19"/>
      <c r="J129" s="5"/>
    </row>
    <row r="130" spans="1:10" x14ac:dyDescent="0.25">
      <c r="A130" s="3"/>
      <c r="C130" s="5"/>
      <c r="D130" s="5"/>
      <c r="E130" s="5"/>
      <c r="F130" s="5"/>
      <c r="H130" s="19"/>
      <c r="J130" s="5"/>
    </row>
    <row r="131" spans="1:10" x14ac:dyDescent="0.25">
      <c r="A131" s="1"/>
      <c r="B131" s="7"/>
      <c r="C131" s="5"/>
      <c r="D131" s="5"/>
      <c r="E131" s="5"/>
      <c r="F131" s="5"/>
      <c r="H131" s="19"/>
      <c r="J131" s="5"/>
    </row>
    <row r="132" spans="1:10" x14ac:dyDescent="0.25">
      <c r="A132" s="3"/>
      <c r="C132" s="5"/>
      <c r="D132" s="5"/>
      <c r="E132" s="5"/>
      <c r="F132" s="5"/>
      <c r="H132" s="19"/>
      <c r="J132" s="5"/>
    </row>
    <row r="133" spans="1:10" x14ac:dyDescent="0.25">
      <c r="A133" s="3"/>
      <c r="C133" s="5"/>
      <c r="D133" s="5"/>
      <c r="E133" s="5"/>
      <c r="F133" s="5"/>
      <c r="H133" s="19"/>
      <c r="J133" s="5"/>
    </row>
    <row r="134" spans="1:10" x14ac:dyDescent="0.25">
      <c r="A134" s="3"/>
      <c r="C134" s="5"/>
      <c r="D134" s="5"/>
      <c r="E134" s="5"/>
      <c r="F134" s="5"/>
      <c r="H134" s="19"/>
      <c r="J134" s="5"/>
    </row>
    <row r="135" spans="1:10" x14ac:dyDescent="0.25">
      <c r="A135" s="3"/>
      <c r="C135" s="5"/>
      <c r="D135" s="5"/>
      <c r="E135" s="5"/>
      <c r="F135" s="5"/>
      <c r="H135" s="19"/>
      <c r="J135" s="5"/>
    </row>
    <row r="136" spans="1:10" x14ac:dyDescent="0.25">
      <c r="A136" s="3"/>
      <c r="C136" s="5"/>
      <c r="D136" s="5"/>
      <c r="E136" s="5"/>
      <c r="F136" s="5"/>
      <c r="H136" s="19"/>
      <c r="J136" s="5"/>
    </row>
    <row r="137" spans="1:10" x14ac:dyDescent="0.25">
      <c r="A137" s="3"/>
      <c r="C137" s="5"/>
      <c r="D137" s="5"/>
      <c r="E137" s="5"/>
      <c r="F137" s="5"/>
      <c r="H137" s="19"/>
      <c r="J137" s="5"/>
    </row>
    <row r="138" spans="1:10" x14ac:dyDescent="0.25">
      <c r="A138" s="3"/>
      <c r="C138" s="5"/>
      <c r="D138" s="5"/>
      <c r="E138" s="5"/>
      <c r="F138" s="5"/>
      <c r="H138" s="19"/>
      <c r="J138" s="5"/>
    </row>
    <row r="139" spans="1:10" x14ac:dyDescent="0.25">
      <c r="A139" s="3"/>
      <c r="C139" s="5"/>
      <c r="D139" s="5"/>
      <c r="E139" s="5"/>
      <c r="F139" s="5"/>
      <c r="H139" s="19"/>
      <c r="J139" s="5"/>
    </row>
    <row r="140" spans="1:10" x14ac:dyDescent="0.25">
      <c r="A140" s="3"/>
      <c r="C140" s="5"/>
      <c r="D140" s="5"/>
      <c r="E140" s="5"/>
      <c r="F140" s="5"/>
      <c r="H140" s="19"/>
      <c r="J140" s="5"/>
    </row>
    <row r="141" spans="1:10" x14ac:dyDescent="0.25">
      <c r="A141" s="3"/>
      <c r="C141" s="5"/>
      <c r="D141" s="5"/>
      <c r="E141" s="5"/>
      <c r="F141" s="5"/>
      <c r="H141" s="19"/>
      <c r="J141" s="5"/>
    </row>
    <row r="142" spans="1:10" x14ac:dyDescent="0.25">
      <c r="A142" s="3"/>
      <c r="C142" s="5"/>
      <c r="D142" s="5"/>
      <c r="E142" s="5"/>
      <c r="F142" s="5"/>
      <c r="H142" s="19"/>
      <c r="J142" s="5"/>
    </row>
    <row r="143" spans="1:10" x14ac:dyDescent="0.25">
      <c r="A143" s="1"/>
      <c r="B143" s="7"/>
      <c r="C143" s="5"/>
      <c r="D143" s="5"/>
      <c r="E143" s="5"/>
      <c r="F143" s="5"/>
      <c r="H143" s="19"/>
      <c r="J143" s="5"/>
    </row>
    <row r="144" spans="1:10" x14ac:dyDescent="0.25">
      <c r="A144" s="3"/>
      <c r="C144" s="5"/>
      <c r="D144" s="5"/>
      <c r="E144" s="5"/>
      <c r="F144" s="5"/>
      <c r="H144" s="19"/>
      <c r="J144" s="5"/>
    </row>
    <row r="145" spans="1:10" x14ac:dyDescent="0.25">
      <c r="A145" s="3"/>
      <c r="C145" s="5"/>
      <c r="D145" s="5"/>
      <c r="E145" s="5"/>
      <c r="F145" s="5"/>
      <c r="H145" s="19"/>
      <c r="J145" s="5"/>
    </row>
    <row r="146" spans="1:10" x14ac:dyDescent="0.25">
      <c r="A146" s="3"/>
      <c r="C146" s="5"/>
      <c r="D146" s="5"/>
      <c r="E146" s="5"/>
      <c r="F146" s="5"/>
      <c r="H146" s="19"/>
      <c r="J146" s="5"/>
    </row>
    <row r="147" spans="1:10" x14ac:dyDescent="0.25">
      <c r="A147" s="3"/>
      <c r="C147" s="5"/>
      <c r="D147" s="5"/>
      <c r="E147" s="5"/>
      <c r="F147" s="5"/>
      <c r="H147" s="19"/>
      <c r="J147" s="5"/>
    </row>
    <row r="148" spans="1:10" x14ac:dyDescent="0.25">
      <c r="A148" s="3"/>
      <c r="C148" s="5"/>
      <c r="D148" s="5"/>
      <c r="E148" s="5"/>
      <c r="F148" s="5"/>
      <c r="H148" s="19"/>
      <c r="J148" s="5"/>
    </row>
    <row r="149" spans="1:10" x14ac:dyDescent="0.25">
      <c r="A149" s="1"/>
      <c r="B149" s="7"/>
      <c r="H149" s="19"/>
    </row>
    <row r="150" spans="1:10" x14ac:dyDescent="0.25">
      <c r="A150" s="3"/>
      <c r="H150" s="19"/>
    </row>
    <row r="151" spans="1:10" x14ac:dyDescent="0.25">
      <c r="A151" s="3"/>
      <c r="H151" s="19"/>
    </row>
    <row r="152" spans="1:10" x14ac:dyDescent="0.25">
      <c r="A152" s="3"/>
      <c r="H152" s="19"/>
    </row>
    <row r="153" spans="1:10" x14ac:dyDescent="0.25">
      <c r="A153" s="3"/>
      <c r="H153" s="19"/>
    </row>
    <row r="154" spans="1:10" x14ac:dyDescent="0.25">
      <c r="A154" s="3"/>
      <c r="H154" s="19"/>
    </row>
    <row r="155" spans="1:10" x14ac:dyDescent="0.25">
      <c r="A155" s="3"/>
      <c r="H155" s="19"/>
    </row>
    <row r="156" spans="1:10" x14ac:dyDescent="0.25">
      <c r="A156" s="3"/>
      <c r="H156" s="19"/>
    </row>
    <row r="157" spans="1:10" x14ac:dyDescent="0.25">
      <c r="A157" s="3"/>
      <c r="H157" s="19"/>
    </row>
    <row r="158" spans="1:10" x14ac:dyDescent="0.25">
      <c r="H158" s="19"/>
    </row>
    <row r="159" spans="1:10" x14ac:dyDescent="0.25">
      <c r="A159" s="8"/>
      <c r="B159" s="4"/>
      <c r="H159" s="19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 Meyer</cp:lastModifiedBy>
  <dcterms:created xsi:type="dcterms:W3CDTF">2026-02-08T08:40:39Z</dcterms:created>
  <dcterms:modified xsi:type="dcterms:W3CDTF">2026-02-08T15:30:51Z</dcterms:modified>
</cp:coreProperties>
</file>