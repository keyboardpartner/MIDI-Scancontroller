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ropbox\FatarScanController\AVR\MIDI-Scancontroller\docs\"/>
    </mc:Choice>
  </mc:AlternateContent>
  <bookViews>
    <workbookView minimized="1" xWindow="480" yWindow="45" windowWidth="19995" windowHeight="15585"/>
  </bookViews>
  <sheets>
    <sheet name="Tabelle1" sheetId="1" r:id="rId1"/>
    <sheet name="Tabelle2" sheetId="2" r:id="rId2"/>
  </sheets>
  <calcPr calcId="162913"/>
</workbook>
</file>

<file path=xl/calcChain.xml><?xml version="1.0" encoding="utf-8"?>
<calcChain xmlns="http://schemas.openxmlformats.org/spreadsheetml/2006/main">
  <c r="G4" i="1" l="1"/>
  <c r="G24" i="1"/>
  <c r="G25" i="1"/>
  <c r="G26" i="1"/>
  <c r="G27" i="1"/>
  <c r="G28" i="1"/>
  <c r="G29" i="1"/>
  <c r="G30" i="1"/>
  <c r="G31" i="1"/>
  <c r="H31" i="1" s="1"/>
  <c r="I31" i="1" s="1"/>
  <c r="G32" i="1"/>
  <c r="G33" i="1"/>
  <c r="G34" i="1"/>
  <c r="G35" i="1"/>
  <c r="G36" i="1"/>
  <c r="G37" i="1"/>
  <c r="H37" i="1" s="1"/>
  <c r="I37" i="1" s="1"/>
  <c r="G38" i="1"/>
  <c r="G39" i="1"/>
  <c r="G40" i="1"/>
  <c r="G41" i="1"/>
  <c r="G42" i="1"/>
  <c r="G43" i="1"/>
  <c r="G44" i="1"/>
  <c r="G45" i="1"/>
  <c r="G46" i="1"/>
  <c r="G47" i="1"/>
  <c r="H47" i="1" s="1"/>
  <c r="I47" i="1" s="1"/>
  <c r="G48" i="1"/>
  <c r="G49" i="1"/>
  <c r="G50" i="1"/>
  <c r="G51" i="1"/>
  <c r="G52" i="1"/>
  <c r="G53" i="1"/>
  <c r="G54" i="1"/>
  <c r="G55" i="1"/>
  <c r="H55" i="1" s="1"/>
  <c r="I55" i="1" s="1"/>
  <c r="G56" i="1"/>
  <c r="G57" i="1"/>
  <c r="G58" i="1"/>
  <c r="G59" i="1"/>
  <c r="H59" i="1" s="1"/>
  <c r="I59" i="1" s="1"/>
  <c r="G60" i="1"/>
  <c r="G61" i="1"/>
  <c r="H61" i="1" s="1"/>
  <c r="I61" i="1" s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H79" i="1" s="1"/>
  <c r="I79" i="1" s="1"/>
  <c r="G80" i="1"/>
  <c r="G81" i="1"/>
  <c r="G82" i="1"/>
  <c r="G83" i="1"/>
  <c r="G84" i="1"/>
  <c r="G85" i="1"/>
  <c r="H85" i="1" s="1"/>
  <c r="I85" i="1" s="1"/>
  <c r="G86" i="1"/>
  <c r="G87" i="1"/>
  <c r="G88" i="1"/>
  <c r="G89" i="1"/>
  <c r="G90" i="1"/>
  <c r="G91" i="1"/>
  <c r="G92" i="1"/>
  <c r="H92" i="1" s="1"/>
  <c r="I92" i="1" s="1"/>
  <c r="G93" i="1"/>
  <c r="G94" i="1"/>
  <c r="G95" i="1"/>
  <c r="H95" i="1" s="1"/>
  <c r="I95" i="1" s="1"/>
  <c r="G96" i="1"/>
  <c r="G97" i="1"/>
  <c r="G98" i="1"/>
  <c r="G99" i="1"/>
  <c r="G100" i="1"/>
  <c r="G101" i="1"/>
  <c r="G102" i="1"/>
  <c r="G103" i="1"/>
  <c r="H103" i="1" s="1"/>
  <c r="I103" i="1" s="1"/>
  <c r="G104" i="1"/>
  <c r="G105" i="1"/>
  <c r="G106" i="1"/>
  <c r="G107" i="1"/>
  <c r="H107" i="1" s="1"/>
  <c r="I107" i="1" s="1"/>
  <c r="G108" i="1"/>
  <c r="G109" i="1"/>
  <c r="H109" i="1" s="1"/>
  <c r="I109" i="1" s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H127" i="1" s="1"/>
  <c r="I127" i="1" s="1"/>
  <c r="G128" i="1"/>
  <c r="H128" i="1" s="1"/>
  <c r="I128" i="1" s="1"/>
  <c r="G129" i="1"/>
  <c r="G130" i="1"/>
  <c r="G131" i="1"/>
  <c r="G132" i="1"/>
  <c r="G133" i="1"/>
  <c r="H133" i="1" s="1"/>
  <c r="I133" i="1" s="1"/>
  <c r="G134" i="1"/>
  <c r="G135" i="1"/>
  <c r="G136" i="1"/>
  <c r="G137" i="1"/>
  <c r="G138" i="1"/>
  <c r="G139" i="1"/>
  <c r="G140" i="1"/>
  <c r="H140" i="1" s="1"/>
  <c r="I140" i="1" s="1"/>
  <c r="G141" i="1"/>
  <c r="G142" i="1"/>
  <c r="G143" i="1"/>
  <c r="H143" i="1" s="1"/>
  <c r="I143" i="1" s="1"/>
  <c r="G144" i="1"/>
  <c r="G145" i="1"/>
  <c r="G146" i="1"/>
  <c r="G147" i="1"/>
  <c r="G148" i="1"/>
  <c r="G149" i="1"/>
  <c r="G150" i="1"/>
  <c r="G151" i="1"/>
  <c r="H151" i="1" s="1"/>
  <c r="I151" i="1" s="1"/>
  <c r="G152" i="1"/>
  <c r="G153" i="1"/>
  <c r="G154" i="1"/>
  <c r="G155" i="1"/>
  <c r="H155" i="1" s="1"/>
  <c r="I155" i="1" s="1"/>
  <c r="G156" i="1"/>
  <c r="G157" i="1"/>
  <c r="H157" i="1" s="1"/>
  <c r="I157" i="1" s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H175" i="1" s="1"/>
  <c r="I175" i="1" s="1"/>
  <c r="G176" i="1"/>
  <c r="H176" i="1" s="1"/>
  <c r="I176" i="1" s="1"/>
  <c r="G177" i="1"/>
  <c r="G178" i="1"/>
  <c r="G179" i="1"/>
  <c r="G180" i="1"/>
  <c r="G181" i="1"/>
  <c r="H181" i="1" s="1"/>
  <c r="I181" i="1" s="1"/>
  <c r="G182" i="1"/>
  <c r="G183" i="1"/>
  <c r="G184" i="1"/>
  <c r="G185" i="1"/>
  <c r="G186" i="1"/>
  <c r="G187" i="1"/>
  <c r="G188" i="1"/>
  <c r="H188" i="1" s="1"/>
  <c r="I188" i="1" s="1"/>
  <c r="G189" i="1"/>
  <c r="G190" i="1"/>
  <c r="G191" i="1"/>
  <c r="H191" i="1" s="1"/>
  <c r="I191" i="1" s="1"/>
  <c r="G192" i="1"/>
  <c r="G193" i="1"/>
  <c r="H193" i="1" s="1"/>
  <c r="I193" i="1" s="1"/>
  <c r="G194" i="1"/>
  <c r="G195" i="1"/>
  <c r="G196" i="1"/>
  <c r="G197" i="1"/>
  <c r="G198" i="1"/>
  <c r="G199" i="1"/>
  <c r="H199" i="1" s="1"/>
  <c r="I199" i="1" s="1"/>
  <c r="G200" i="1"/>
  <c r="G201" i="1"/>
  <c r="G202" i="1"/>
  <c r="G203" i="1"/>
  <c r="H203" i="1" s="1"/>
  <c r="I203" i="1" s="1"/>
  <c r="G204" i="1"/>
  <c r="G205" i="1"/>
  <c r="H205" i="1" s="1"/>
  <c r="I205" i="1" s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H223" i="1" s="1"/>
  <c r="I223" i="1" s="1"/>
  <c r="G224" i="1"/>
  <c r="H224" i="1" s="1"/>
  <c r="I224" i="1" s="1"/>
  <c r="G225" i="1"/>
  <c r="G226" i="1"/>
  <c r="G227" i="1"/>
  <c r="G228" i="1"/>
  <c r="G229" i="1"/>
  <c r="H229" i="1" s="1"/>
  <c r="I229" i="1" s="1"/>
  <c r="G230" i="1"/>
  <c r="G231" i="1"/>
  <c r="G232" i="1"/>
  <c r="G233" i="1"/>
  <c r="G234" i="1"/>
  <c r="G235" i="1"/>
  <c r="G236" i="1"/>
  <c r="H236" i="1" s="1"/>
  <c r="I236" i="1" s="1"/>
  <c r="G237" i="1"/>
  <c r="G238" i="1"/>
  <c r="G239" i="1"/>
  <c r="H239" i="1" s="1"/>
  <c r="I239" i="1" s="1"/>
  <c r="G240" i="1"/>
  <c r="G241" i="1"/>
  <c r="H241" i="1" s="1"/>
  <c r="I241" i="1" s="1"/>
  <c r="G242" i="1"/>
  <c r="G243" i="1"/>
  <c r="G244" i="1"/>
  <c r="G245" i="1"/>
  <c r="G246" i="1"/>
  <c r="G247" i="1"/>
  <c r="H247" i="1" s="1"/>
  <c r="I247" i="1" s="1"/>
  <c r="G248" i="1"/>
  <c r="G249" i="1"/>
  <c r="G250" i="1"/>
  <c r="G251" i="1"/>
  <c r="H251" i="1" s="1"/>
  <c r="I251" i="1" s="1"/>
  <c r="G252" i="1"/>
  <c r="G253" i="1"/>
  <c r="H253" i="1" s="1"/>
  <c r="I253" i="1" s="1"/>
  <c r="G254" i="1"/>
  <c r="G255" i="1"/>
  <c r="G256" i="1"/>
  <c r="G257" i="1"/>
  <c r="G258" i="1"/>
  <c r="G259" i="1"/>
  <c r="G5" i="1"/>
  <c r="H5" i="1" s="1"/>
  <c r="I5" i="1" s="1"/>
  <c r="G6" i="1"/>
  <c r="H6" i="1" s="1"/>
  <c r="I6" i="1" s="1"/>
  <c r="G7" i="1"/>
  <c r="H7" i="1" s="1"/>
  <c r="I7" i="1" s="1"/>
  <c r="G8" i="1"/>
  <c r="G9" i="1"/>
  <c r="G10" i="1"/>
  <c r="H10" i="1" s="1"/>
  <c r="I10" i="1" s="1"/>
  <c r="G11" i="1"/>
  <c r="G12" i="1"/>
  <c r="H12" i="1" s="1"/>
  <c r="I12" i="1" s="1"/>
  <c r="G13" i="1"/>
  <c r="G14" i="1"/>
  <c r="G15" i="1"/>
  <c r="G16" i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4" i="1"/>
  <c r="H14" i="1"/>
  <c r="I14" i="1" s="1"/>
  <c r="H15" i="1"/>
  <c r="I15" i="1" s="1"/>
  <c r="H16" i="1"/>
  <c r="I16" i="1" s="1"/>
  <c r="H26" i="1"/>
  <c r="I26" i="1" s="1"/>
  <c r="H27" i="1"/>
  <c r="I27" i="1" s="1"/>
  <c r="H28" i="1"/>
  <c r="I28" i="1" s="1"/>
  <c r="H38" i="1"/>
  <c r="I38" i="1" s="1"/>
  <c r="H39" i="1"/>
  <c r="I39" i="1" s="1"/>
  <c r="H40" i="1"/>
  <c r="I40" i="1" s="1"/>
  <c r="H50" i="1"/>
  <c r="I50" i="1" s="1"/>
  <c r="H51" i="1"/>
  <c r="I51" i="1" s="1"/>
  <c r="H52" i="1"/>
  <c r="I52" i="1" s="1"/>
  <c r="H62" i="1"/>
  <c r="I62" i="1" s="1"/>
  <c r="H63" i="1"/>
  <c r="I63" i="1" s="1"/>
  <c r="H64" i="1"/>
  <c r="I64" i="1" s="1"/>
  <c r="H74" i="1"/>
  <c r="I74" i="1" s="1"/>
  <c r="H75" i="1"/>
  <c r="I75" i="1" s="1"/>
  <c r="H76" i="1"/>
  <c r="I76" i="1" s="1"/>
  <c r="H86" i="1"/>
  <c r="I86" i="1" s="1"/>
  <c r="H87" i="1"/>
  <c r="I87" i="1" s="1"/>
  <c r="H88" i="1"/>
  <c r="I88" i="1" s="1"/>
  <c r="H98" i="1"/>
  <c r="I98" i="1" s="1"/>
  <c r="H99" i="1"/>
  <c r="I99" i="1" s="1"/>
  <c r="H100" i="1"/>
  <c r="I100" i="1" s="1"/>
  <c r="H110" i="1"/>
  <c r="I110" i="1" s="1"/>
  <c r="H111" i="1"/>
  <c r="I111" i="1" s="1"/>
  <c r="H112" i="1"/>
  <c r="I112" i="1" s="1"/>
  <c r="H122" i="1"/>
  <c r="I122" i="1" s="1"/>
  <c r="H123" i="1"/>
  <c r="I123" i="1" s="1"/>
  <c r="H124" i="1"/>
  <c r="I124" i="1" s="1"/>
  <c r="H134" i="1"/>
  <c r="I134" i="1" s="1"/>
  <c r="H135" i="1"/>
  <c r="I135" i="1" s="1"/>
  <c r="H136" i="1"/>
  <c r="I136" i="1" s="1"/>
  <c r="H146" i="1"/>
  <c r="I146" i="1" s="1"/>
  <c r="H147" i="1"/>
  <c r="I147" i="1" s="1"/>
  <c r="H148" i="1"/>
  <c r="I148" i="1" s="1"/>
  <c r="H158" i="1"/>
  <c r="I158" i="1" s="1"/>
  <c r="H159" i="1"/>
  <c r="I159" i="1" s="1"/>
  <c r="H160" i="1"/>
  <c r="I160" i="1" s="1"/>
  <c r="H170" i="1"/>
  <c r="I170" i="1" s="1"/>
  <c r="H171" i="1"/>
  <c r="I171" i="1" s="1"/>
  <c r="H172" i="1"/>
  <c r="I172" i="1" s="1"/>
  <c r="H182" i="1"/>
  <c r="I182" i="1" s="1"/>
  <c r="H183" i="1"/>
  <c r="I183" i="1" s="1"/>
  <c r="H184" i="1"/>
  <c r="I184" i="1" s="1"/>
  <c r="H194" i="1"/>
  <c r="I194" i="1" s="1"/>
  <c r="H195" i="1"/>
  <c r="I195" i="1" s="1"/>
  <c r="H196" i="1"/>
  <c r="I196" i="1" s="1"/>
  <c r="H206" i="1"/>
  <c r="I206" i="1" s="1"/>
  <c r="H207" i="1"/>
  <c r="I207" i="1" s="1"/>
  <c r="H208" i="1"/>
  <c r="I208" i="1" s="1"/>
  <c r="H218" i="1"/>
  <c r="I218" i="1" s="1"/>
  <c r="H219" i="1"/>
  <c r="I219" i="1" s="1"/>
  <c r="H220" i="1"/>
  <c r="I220" i="1" s="1"/>
  <c r="H230" i="1"/>
  <c r="I230" i="1" s="1"/>
  <c r="H231" i="1"/>
  <c r="I231" i="1" s="1"/>
  <c r="H232" i="1"/>
  <c r="I232" i="1" s="1"/>
  <c r="H242" i="1"/>
  <c r="I242" i="1" s="1"/>
  <c r="H243" i="1"/>
  <c r="I243" i="1" s="1"/>
  <c r="H244" i="1"/>
  <c r="I244" i="1" s="1"/>
  <c r="H254" i="1"/>
  <c r="I254" i="1" s="1"/>
  <c r="H255" i="1"/>
  <c r="I255" i="1" s="1"/>
  <c r="H256" i="1"/>
  <c r="I256" i="1" s="1"/>
  <c r="I11" i="1"/>
  <c r="I24" i="1"/>
  <c r="I46" i="1"/>
  <c r="I60" i="1"/>
  <c r="I70" i="1"/>
  <c r="I72" i="1"/>
  <c r="I94" i="1"/>
  <c r="I118" i="1"/>
  <c r="I120" i="1"/>
  <c r="I142" i="1"/>
  <c r="I166" i="1"/>
  <c r="I168" i="1"/>
  <c r="I190" i="1"/>
  <c r="I214" i="1"/>
  <c r="I216" i="1"/>
  <c r="I238" i="1"/>
  <c r="H8" i="1"/>
  <c r="I8" i="1" s="1"/>
  <c r="H9" i="1"/>
  <c r="I9" i="1" s="1"/>
  <c r="H11" i="1"/>
  <c r="H13" i="1"/>
  <c r="I13" i="1" s="1"/>
  <c r="H23" i="1"/>
  <c r="I23" i="1" s="1"/>
  <c r="H24" i="1"/>
  <c r="H25" i="1"/>
  <c r="I25" i="1" s="1"/>
  <c r="H29" i="1"/>
  <c r="I29" i="1" s="1"/>
  <c r="H30" i="1"/>
  <c r="I30" i="1" s="1"/>
  <c r="H32" i="1"/>
  <c r="I32" i="1" s="1"/>
  <c r="H33" i="1"/>
  <c r="I33" i="1" s="1"/>
  <c r="H34" i="1"/>
  <c r="I34" i="1" s="1"/>
  <c r="H35" i="1"/>
  <c r="I35" i="1" s="1"/>
  <c r="H36" i="1"/>
  <c r="I36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H48" i="1"/>
  <c r="I48" i="1" s="1"/>
  <c r="H49" i="1"/>
  <c r="I49" i="1" s="1"/>
  <c r="H53" i="1"/>
  <c r="I53" i="1" s="1"/>
  <c r="H54" i="1"/>
  <c r="I54" i="1" s="1"/>
  <c r="H56" i="1"/>
  <c r="I56" i="1" s="1"/>
  <c r="H57" i="1"/>
  <c r="I57" i="1" s="1"/>
  <c r="H58" i="1"/>
  <c r="I58" i="1" s="1"/>
  <c r="H60" i="1"/>
  <c r="H65" i="1"/>
  <c r="I65" i="1" s="1"/>
  <c r="H66" i="1"/>
  <c r="I66" i="1" s="1"/>
  <c r="H67" i="1"/>
  <c r="I67" i="1" s="1"/>
  <c r="H68" i="1"/>
  <c r="I68" i="1" s="1"/>
  <c r="H69" i="1"/>
  <c r="I69" i="1" s="1"/>
  <c r="H70" i="1"/>
  <c r="H71" i="1"/>
  <c r="I71" i="1" s="1"/>
  <c r="H72" i="1"/>
  <c r="H73" i="1"/>
  <c r="I73" i="1" s="1"/>
  <c r="H77" i="1"/>
  <c r="I77" i="1" s="1"/>
  <c r="H78" i="1"/>
  <c r="I78" i="1" s="1"/>
  <c r="H80" i="1"/>
  <c r="I80" i="1" s="1"/>
  <c r="H81" i="1"/>
  <c r="I81" i="1" s="1"/>
  <c r="H82" i="1"/>
  <c r="I82" i="1" s="1"/>
  <c r="H83" i="1"/>
  <c r="I83" i="1" s="1"/>
  <c r="H84" i="1"/>
  <c r="I84" i="1" s="1"/>
  <c r="H89" i="1"/>
  <c r="I89" i="1" s="1"/>
  <c r="H90" i="1"/>
  <c r="I90" i="1" s="1"/>
  <c r="H91" i="1"/>
  <c r="I91" i="1" s="1"/>
  <c r="H93" i="1"/>
  <c r="I93" i="1" s="1"/>
  <c r="H94" i="1"/>
  <c r="H96" i="1"/>
  <c r="I96" i="1" s="1"/>
  <c r="H97" i="1"/>
  <c r="I97" i="1" s="1"/>
  <c r="H101" i="1"/>
  <c r="I101" i="1" s="1"/>
  <c r="H102" i="1"/>
  <c r="I102" i="1" s="1"/>
  <c r="H104" i="1"/>
  <c r="I104" i="1" s="1"/>
  <c r="H105" i="1"/>
  <c r="I105" i="1" s="1"/>
  <c r="H106" i="1"/>
  <c r="I106" i="1" s="1"/>
  <c r="H108" i="1"/>
  <c r="I108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H119" i="1"/>
  <c r="I119" i="1" s="1"/>
  <c r="H120" i="1"/>
  <c r="H121" i="1"/>
  <c r="I121" i="1" s="1"/>
  <c r="H125" i="1"/>
  <c r="I125" i="1" s="1"/>
  <c r="H126" i="1"/>
  <c r="I126" i="1" s="1"/>
  <c r="H129" i="1"/>
  <c r="I129" i="1" s="1"/>
  <c r="H130" i="1"/>
  <c r="I130" i="1" s="1"/>
  <c r="H131" i="1"/>
  <c r="I131" i="1" s="1"/>
  <c r="H132" i="1"/>
  <c r="I132" i="1" s="1"/>
  <c r="H137" i="1"/>
  <c r="I137" i="1" s="1"/>
  <c r="H138" i="1"/>
  <c r="I138" i="1" s="1"/>
  <c r="H139" i="1"/>
  <c r="I139" i="1" s="1"/>
  <c r="H141" i="1"/>
  <c r="I141" i="1" s="1"/>
  <c r="H142" i="1"/>
  <c r="H144" i="1"/>
  <c r="I144" i="1" s="1"/>
  <c r="H145" i="1"/>
  <c r="I145" i="1" s="1"/>
  <c r="H149" i="1"/>
  <c r="I149" i="1" s="1"/>
  <c r="H150" i="1"/>
  <c r="I150" i="1" s="1"/>
  <c r="H152" i="1"/>
  <c r="I152" i="1" s="1"/>
  <c r="H153" i="1"/>
  <c r="I153" i="1" s="1"/>
  <c r="H154" i="1"/>
  <c r="I154" i="1" s="1"/>
  <c r="H156" i="1"/>
  <c r="I156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H167" i="1"/>
  <c r="I167" i="1" s="1"/>
  <c r="H168" i="1"/>
  <c r="H169" i="1"/>
  <c r="I169" i="1" s="1"/>
  <c r="H173" i="1"/>
  <c r="I173" i="1" s="1"/>
  <c r="H174" i="1"/>
  <c r="I174" i="1" s="1"/>
  <c r="H177" i="1"/>
  <c r="I177" i="1" s="1"/>
  <c r="H178" i="1"/>
  <c r="I178" i="1" s="1"/>
  <c r="H179" i="1"/>
  <c r="I179" i="1" s="1"/>
  <c r="H180" i="1"/>
  <c r="I180" i="1" s="1"/>
  <c r="H185" i="1"/>
  <c r="I185" i="1" s="1"/>
  <c r="H186" i="1"/>
  <c r="I186" i="1" s="1"/>
  <c r="H187" i="1"/>
  <c r="I187" i="1" s="1"/>
  <c r="H189" i="1"/>
  <c r="I189" i="1" s="1"/>
  <c r="H190" i="1"/>
  <c r="H192" i="1"/>
  <c r="I192" i="1" s="1"/>
  <c r="H197" i="1"/>
  <c r="I197" i="1" s="1"/>
  <c r="H198" i="1"/>
  <c r="I198" i="1" s="1"/>
  <c r="H200" i="1"/>
  <c r="I200" i="1" s="1"/>
  <c r="H201" i="1"/>
  <c r="I201" i="1" s="1"/>
  <c r="H202" i="1"/>
  <c r="I202" i="1" s="1"/>
  <c r="H204" i="1"/>
  <c r="I204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H215" i="1"/>
  <c r="I215" i="1" s="1"/>
  <c r="H216" i="1"/>
  <c r="H217" i="1"/>
  <c r="I217" i="1" s="1"/>
  <c r="H221" i="1"/>
  <c r="I221" i="1" s="1"/>
  <c r="H222" i="1"/>
  <c r="I222" i="1" s="1"/>
  <c r="H225" i="1"/>
  <c r="I225" i="1" s="1"/>
  <c r="H226" i="1"/>
  <c r="I226" i="1" s="1"/>
  <c r="H227" i="1"/>
  <c r="I227" i="1" s="1"/>
  <c r="H228" i="1"/>
  <c r="I228" i="1" s="1"/>
  <c r="H233" i="1"/>
  <c r="I233" i="1" s="1"/>
  <c r="H234" i="1"/>
  <c r="I234" i="1" s="1"/>
  <c r="H235" i="1"/>
  <c r="I235" i="1" s="1"/>
  <c r="H237" i="1"/>
  <c r="I237" i="1" s="1"/>
  <c r="H238" i="1"/>
  <c r="H240" i="1"/>
  <c r="I240" i="1" s="1"/>
  <c r="H245" i="1"/>
  <c r="I245" i="1" s="1"/>
  <c r="H246" i="1"/>
  <c r="I246" i="1" s="1"/>
  <c r="H248" i="1"/>
  <c r="I248" i="1" s="1"/>
  <c r="H249" i="1"/>
  <c r="I249" i="1" s="1"/>
  <c r="H250" i="1"/>
  <c r="I250" i="1" s="1"/>
  <c r="H252" i="1"/>
  <c r="I252" i="1" s="1"/>
  <c r="H257" i="1"/>
  <c r="I257" i="1" s="1"/>
  <c r="H258" i="1"/>
  <c r="I258" i="1" s="1"/>
  <c r="H259" i="1"/>
  <c r="I259" i="1" s="1"/>
  <c r="F259" i="1"/>
  <c r="L8" i="1"/>
  <c r="I4" i="1" l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L6" i="1"/>
  <c r="L7" i="1" l="1"/>
  <c r="B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4" i="1"/>
  <c r="C33" i="1" l="1"/>
  <c r="D33" i="1" s="1"/>
  <c r="F33" i="1" s="1"/>
  <c r="C151" i="1"/>
  <c r="D151" i="1" s="1"/>
  <c r="F151" i="1" s="1"/>
  <c r="C150" i="1"/>
  <c r="D150" i="1" s="1"/>
  <c r="F150" i="1" s="1"/>
  <c r="C14" i="1"/>
  <c r="D14" i="1" s="1"/>
  <c r="F14" i="1" s="1"/>
  <c r="C149" i="1"/>
  <c r="D149" i="1" s="1"/>
  <c r="F149" i="1" s="1"/>
  <c r="C16" i="1"/>
  <c r="D16" i="1" s="1"/>
  <c r="F16" i="1" s="1"/>
  <c r="C247" i="1"/>
  <c r="D247" i="1" s="1"/>
  <c r="F247" i="1" s="1"/>
  <c r="C127" i="1"/>
  <c r="D127" i="1" s="1"/>
  <c r="F127" i="1" s="1"/>
  <c r="C246" i="1"/>
  <c r="D246" i="1" s="1"/>
  <c r="F246" i="1" s="1"/>
  <c r="C126" i="1"/>
  <c r="D126" i="1" s="1"/>
  <c r="F126" i="1" s="1"/>
  <c r="C245" i="1"/>
  <c r="D245" i="1" s="1"/>
  <c r="F245" i="1" s="1"/>
  <c r="C125" i="1"/>
  <c r="D125" i="1" s="1"/>
  <c r="F125" i="1" s="1"/>
  <c r="C223" i="1"/>
  <c r="D223" i="1" s="1"/>
  <c r="F223" i="1" s="1"/>
  <c r="C103" i="1"/>
  <c r="D103" i="1" s="1"/>
  <c r="F103" i="1" s="1"/>
  <c r="C222" i="1"/>
  <c r="D222" i="1" s="1"/>
  <c r="F222" i="1" s="1"/>
  <c r="C102" i="1"/>
  <c r="D102" i="1" s="1"/>
  <c r="F102" i="1" s="1"/>
  <c r="C221" i="1"/>
  <c r="D221" i="1" s="1"/>
  <c r="F221" i="1" s="1"/>
  <c r="C79" i="1"/>
  <c r="D79" i="1" s="1"/>
  <c r="F79" i="1" s="1"/>
  <c r="C199" i="1"/>
  <c r="D199" i="1" s="1"/>
  <c r="F199" i="1" s="1"/>
  <c r="C77" i="1"/>
  <c r="D77" i="1" s="1"/>
  <c r="F77" i="1" s="1"/>
  <c r="C198" i="1"/>
  <c r="D198" i="1" s="1"/>
  <c r="F198" i="1" s="1"/>
  <c r="C55" i="1"/>
  <c r="D55" i="1" s="1"/>
  <c r="F55" i="1" s="1"/>
  <c r="C175" i="1"/>
  <c r="D175" i="1" s="1"/>
  <c r="F175" i="1" s="1"/>
  <c r="C53" i="1"/>
  <c r="D53" i="1" s="1"/>
  <c r="F53" i="1" s="1"/>
  <c r="C173" i="1"/>
  <c r="D173" i="1" s="1"/>
  <c r="F173" i="1" s="1"/>
  <c r="C54" i="1"/>
  <c r="D54" i="1" s="1"/>
  <c r="F54" i="1" s="1"/>
  <c r="C197" i="1"/>
  <c r="D197" i="1" s="1"/>
  <c r="F197" i="1" s="1"/>
  <c r="C101" i="1"/>
  <c r="D101" i="1" s="1"/>
  <c r="F101" i="1" s="1"/>
  <c r="C15" i="1"/>
  <c r="D15" i="1" s="1"/>
  <c r="F15" i="1" s="1"/>
  <c r="C174" i="1"/>
  <c r="D174" i="1" s="1"/>
  <c r="F174" i="1" s="1"/>
  <c r="C78" i="1"/>
  <c r="D78" i="1" s="1"/>
  <c r="F78" i="1" s="1"/>
  <c r="C13" i="1"/>
  <c r="D13" i="1" s="1"/>
  <c r="F13" i="1" s="1"/>
  <c r="C244" i="1"/>
  <c r="D244" i="1" s="1"/>
  <c r="F244" i="1" s="1"/>
  <c r="C220" i="1"/>
  <c r="D220" i="1" s="1"/>
  <c r="F220" i="1" s="1"/>
  <c r="C196" i="1"/>
  <c r="D196" i="1" s="1"/>
  <c r="F196" i="1" s="1"/>
  <c r="C172" i="1"/>
  <c r="D172" i="1" s="1"/>
  <c r="F172" i="1" s="1"/>
  <c r="C148" i="1"/>
  <c r="D148" i="1" s="1"/>
  <c r="F148" i="1" s="1"/>
  <c r="C124" i="1"/>
  <c r="D124" i="1" s="1"/>
  <c r="F124" i="1" s="1"/>
  <c r="C100" i="1"/>
  <c r="D100" i="1" s="1"/>
  <c r="F100" i="1" s="1"/>
  <c r="C76" i="1"/>
  <c r="D76" i="1" s="1"/>
  <c r="F76" i="1" s="1"/>
  <c r="C52" i="1"/>
  <c r="D52" i="1" s="1"/>
  <c r="F52" i="1" s="1"/>
  <c r="C31" i="1"/>
  <c r="D31" i="1" s="1"/>
  <c r="F31" i="1" s="1"/>
  <c r="C7" i="1"/>
  <c r="D7" i="1" s="1"/>
  <c r="F7" i="1" s="1"/>
  <c r="C238" i="1"/>
  <c r="D238" i="1" s="1"/>
  <c r="F238" i="1" s="1"/>
  <c r="C214" i="1"/>
  <c r="D214" i="1" s="1"/>
  <c r="F214" i="1" s="1"/>
  <c r="C190" i="1"/>
  <c r="D190" i="1" s="1"/>
  <c r="F190" i="1" s="1"/>
  <c r="C166" i="1"/>
  <c r="D166" i="1" s="1"/>
  <c r="F166" i="1" s="1"/>
  <c r="C142" i="1"/>
  <c r="D142" i="1" s="1"/>
  <c r="F142" i="1" s="1"/>
  <c r="C118" i="1"/>
  <c r="D118" i="1" s="1"/>
  <c r="F118" i="1" s="1"/>
  <c r="C94" i="1"/>
  <c r="D94" i="1" s="1"/>
  <c r="F94" i="1" s="1"/>
  <c r="C70" i="1"/>
  <c r="D70" i="1" s="1"/>
  <c r="F70" i="1" s="1"/>
  <c r="C46" i="1"/>
  <c r="D46" i="1" s="1"/>
  <c r="F46" i="1" s="1"/>
  <c r="C29" i="1"/>
  <c r="D29" i="1" s="1"/>
  <c r="F29" i="1" s="1"/>
  <c r="C5" i="1"/>
  <c r="D5" i="1" s="1"/>
  <c r="F5" i="1" s="1"/>
  <c r="C236" i="1"/>
  <c r="D236" i="1" s="1"/>
  <c r="F236" i="1" s="1"/>
  <c r="C212" i="1"/>
  <c r="D212" i="1" s="1"/>
  <c r="F212" i="1" s="1"/>
  <c r="C188" i="1"/>
  <c r="D188" i="1" s="1"/>
  <c r="F188" i="1" s="1"/>
  <c r="C164" i="1"/>
  <c r="D164" i="1" s="1"/>
  <c r="F164" i="1" s="1"/>
  <c r="C140" i="1"/>
  <c r="D140" i="1" s="1"/>
  <c r="F140" i="1" s="1"/>
  <c r="C116" i="1"/>
  <c r="D116" i="1" s="1"/>
  <c r="F116" i="1" s="1"/>
  <c r="C92" i="1"/>
  <c r="D92" i="1" s="1"/>
  <c r="F92" i="1" s="1"/>
  <c r="C68" i="1"/>
  <c r="D68" i="1" s="1"/>
  <c r="F68" i="1" s="1"/>
  <c r="C44" i="1"/>
  <c r="D44" i="1" s="1"/>
  <c r="F44" i="1" s="1"/>
  <c r="C28" i="1"/>
  <c r="D28" i="1" s="1"/>
  <c r="F28" i="1" s="1"/>
  <c r="C259" i="1"/>
  <c r="C235" i="1"/>
  <c r="D235" i="1" s="1"/>
  <c r="F235" i="1" s="1"/>
  <c r="C211" i="1"/>
  <c r="D211" i="1" s="1"/>
  <c r="F211" i="1" s="1"/>
  <c r="C187" i="1"/>
  <c r="D187" i="1" s="1"/>
  <c r="F187" i="1" s="1"/>
  <c r="C163" i="1"/>
  <c r="D163" i="1" s="1"/>
  <c r="F163" i="1" s="1"/>
  <c r="C139" i="1"/>
  <c r="D139" i="1" s="1"/>
  <c r="F139" i="1" s="1"/>
  <c r="C115" i="1"/>
  <c r="D115" i="1" s="1"/>
  <c r="F115" i="1" s="1"/>
  <c r="C91" i="1"/>
  <c r="D91" i="1" s="1"/>
  <c r="F91" i="1" s="1"/>
  <c r="C67" i="1"/>
  <c r="D67" i="1" s="1"/>
  <c r="F67" i="1" s="1"/>
  <c r="C43" i="1"/>
  <c r="D43" i="1" s="1"/>
  <c r="F43" i="1" s="1"/>
  <c r="C27" i="1"/>
  <c r="D27" i="1" s="1"/>
  <c r="F27" i="1" s="1"/>
  <c r="C258" i="1"/>
  <c r="D258" i="1" s="1"/>
  <c r="F258" i="1" s="1"/>
  <c r="C234" i="1"/>
  <c r="D234" i="1" s="1"/>
  <c r="F234" i="1" s="1"/>
  <c r="C210" i="1"/>
  <c r="D210" i="1" s="1"/>
  <c r="F210" i="1" s="1"/>
  <c r="C186" i="1"/>
  <c r="D186" i="1" s="1"/>
  <c r="F186" i="1" s="1"/>
  <c r="C162" i="1"/>
  <c r="D162" i="1" s="1"/>
  <c r="F162" i="1" s="1"/>
  <c r="C138" i="1"/>
  <c r="D138" i="1" s="1"/>
  <c r="F138" i="1" s="1"/>
  <c r="C114" i="1"/>
  <c r="D114" i="1" s="1"/>
  <c r="F114" i="1" s="1"/>
  <c r="C90" i="1"/>
  <c r="D90" i="1" s="1"/>
  <c r="F90" i="1" s="1"/>
  <c r="C66" i="1"/>
  <c r="D66" i="1" s="1"/>
  <c r="F66" i="1" s="1"/>
  <c r="C42" i="1"/>
  <c r="D42" i="1" s="1"/>
  <c r="F42" i="1" s="1"/>
  <c r="C26" i="1"/>
  <c r="D26" i="1" s="1"/>
  <c r="F26" i="1" s="1"/>
  <c r="C257" i="1"/>
  <c r="D257" i="1" s="1"/>
  <c r="F257" i="1" s="1"/>
  <c r="C233" i="1"/>
  <c r="D233" i="1" s="1"/>
  <c r="F233" i="1" s="1"/>
  <c r="C209" i="1"/>
  <c r="D209" i="1" s="1"/>
  <c r="F209" i="1" s="1"/>
  <c r="C185" i="1"/>
  <c r="D185" i="1" s="1"/>
  <c r="F185" i="1" s="1"/>
  <c r="C161" i="1"/>
  <c r="D161" i="1" s="1"/>
  <c r="F161" i="1" s="1"/>
  <c r="C137" i="1"/>
  <c r="D137" i="1" s="1"/>
  <c r="F137" i="1" s="1"/>
  <c r="C113" i="1"/>
  <c r="D113" i="1" s="1"/>
  <c r="F113" i="1" s="1"/>
  <c r="C89" i="1"/>
  <c r="D89" i="1" s="1"/>
  <c r="F89" i="1" s="1"/>
  <c r="C65" i="1"/>
  <c r="D65" i="1" s="1"/>
  <c r="F65" i="1" s="1"/>
  <c r="C41" i="1"/>
  <c r="D41" i="1" s="1"/>
  <c r="F41" i="1" s="1"/>
  <c r="C25" i="1"/>
  <c r="D25" i="1" s="1"/>
  <c r="F25" i="1" s="1"/>
  <c r="C256" i="1"/>
  <c r="D256" i="1" s="1"/>
  <c r="F256" i="1" s="1"/>
  <c r="C232" i="1"/>
  <c r="D232" i="1" s="1"/>
  <c r="F232" i="1" s="1"/>
  <c r="C208" i="1"/>
  <c r="D208" i="1" s="1"/>
  <c r="F208" i="1" s="1"/>
  <c r="C184" i="1"/>
  <c r="D184" i="1" s="1"/>
  <c r="F184" i="1" s="1"/>
  <c r="C160" i="1"/>
  <c r="D160" i="1" s="1"/>
  <c r="F160" i="1" s="1"/>
  <c r="C136" i="1"/>
  <c r="D136" i="1" s="1"/>
  <c r="F136" i="1" s="1"/>
  <c r="C112" i="1"/>
  <c r="D112" i="1" s="1"/>
  <c r="F112" i="1" s="1"/>
  <c r="C88" i="1"/>
  <c r="D88" i="1" s="1"/>
  <c r="F88" i="1" s="1"/>
  <c r="C64" i="1"/>
  <c r="D64" i="1" s="1"/>
  <c r="F64" i="1" s="1"/>
  <c r="C40" i="1"/>
  <c r="D40" i="1" s="1"/>
  <c r="F40" i="1" s="1"/>
  <c r="C19" i="1"/>
  <c r="D19" i="1" s="1"/>
  <c r="F19" i="1" s="1"/>
  <c r="C250" i="1"/>
  <c r="D250" i="1" s="1"/>
  <c r="F250" i="1" s="1"/>
  <c r="C226" i="1"/>
  <c r="D226" i="1" s="1"/>
  <c r="F226" i="1" s="1"/>
  <c r="C202" i="1"/>
  <c r="D202" i="1" s="1"/>
  <c r="F202" i="1" s="1"/>
  <c r="C178" i="1"/>
  <c r="D178" i="1" s="1"/>
  <c r="F178" i="1" s="1"/>
  <c r="C154" i="1"/>
  <c r="D154" i="1" s="1"/>
  <c r="F154" i="1" s="1"/>
  <c r="C130" i="1"/>
  <c r="D130" i="1" s="1"/>
  <c r="F130" i="1" s="1"/>
  <c r="C106" i="1"/>
  <c r="D106" i="1" s="1"/>
  <c r="F106" i="1" s="1"/>
  <c r="C82" i="1"/>
  <c r="D82" i="1" s="1"/>
  <c r="F82" i="1" s="1"/>
  <c r="C58" i="1"/>
  <c r="D58" i="1" s="1"/>
  <c r="F58" i="1" s="1"/>
  <c r="C34" i="1"/>
  <c r="D34" i="1" s="1"/>
  <c r="F34" i="1" s="1"/>
  <c r="C17" i="1"/>
  <c r="D17" i="1" s="1"/>
  <c r="F17" i="1" s="1"/>
  <c r="C248" i="1"/>
  <c r="D248" i="1" s="1"/>
  <c r="F248" i="1" s="1"/>
  <c r="C224" i="1"/>
  <c r="D224" i="1" s="1"/>
  <c r="F224" i="1" s="1"/>
  <c r="C200" i="1"/>
  <c r="D200" i="1" s="1"/>
  <c r="F200" i="1" s="1"/>
  <c r="C176" i="1"/>
  <c r="D176" i="1" s="1"/>
  <c r="F176" i="1" s="1"/>
  <c r="C152" i="1"/>
  <c r="D152" i="1" s="1"/>
  <c r="F152" i="1" s="1"/>
  <c r="C128" i="1"/>
  <c r="D128" i="1" s="1"/>
  <c r="F128" i="1" s="1"/>
  <c r="C104" i="1"/>
  <c r="D104" i="1" s="1"/>
  <c r="F104" i="1" s="1"/>
  <c r="C80" i="1"/>
  <c r="D80" i="1" s="1"/>
  <c r="F80" i="1" s="1"/>
  <c r="C56" i="1"/>
  <c r="D56" i="1" s="1"/>
  <c r="F56" i="1" s="1"/>
  <c r="C32" i="1"/>
  <c r="D32" i="1" s="1"/>
  <c r="F32" i="1" s="1"/>
  <c r="C24" i="1"/>
  <c r="D24" i="1" s="1"/>
  <c r="F24" i="1" s="1"/>
  <c r="C12" i="1"/>
  <c r="D12" i="1" s="1"/>
  <c r="F12" i="1" s="1"/>
  <c r="C255" i="1"/>
  <c r="D255" i="1" s="1"/>
  <c r="F255" i="1" s="1"/>
  <c r="C243" i="1"/>
  <c r="D243" i="1" s="1"/>
  <c r="F243" i="1" s="1"/>
  <c r="C231" i="1"/>
  <c r="D231" i="1" s="1"/>
  <c r="F231" i="1" s="1"/>
  <c r="C219" i="1"/>
  <c r="D219" i="1" s="1"/>
  <c r="F219" i="1" s="1"/>
  <c r="C207" i="1"/>
  <c r="D207" i="1" s="1"/>
  <c r="F207" i="1" s="1"/>
  <c r="C195" i="1"/>
  <c r="D195" i="1" s="1"/>
  <c r="F195" i="1" s="1"/>
  <c r="C183" i="1"/>
  <c r="D183" i="1" s="1"/>
  <c r="F183" i="1" s="1"/>
  <c r="C171" i="1"/>
  <c r="D171" i="1" s="1"/>
  <c r="F171" i="1" s="1"/>
  <c r="C159" i="1"/>
  <c r="D159" i="1" s="1"/>
  <c r="F159" i="1" s="1"/>
  <c r="C147" i="1"/>
  <c r="D147" i="1" s="1"/>
  <c r="F147" i="1" s="1"/>
  <c r="C135" i="1"/>
  <c r="D135" i="1" s="1"/>
  <c r="F135" i="1" s="1"/>
  <c r="C123" i="1"/>
  <c r="D123" i="1" s="1"/>
  <c r="F123" i="1" s="1"/>
  <c r="C111" i="1"/>
  <c r="D111" i="1" s="1"/>
  <c r="F111" i="1" s="1"/>
  <c r="C99" i="1"/>
  <c r="D99" i="1" s="1"/>
  <c r="F99" i="1" s="1"/>
  <c r="C87" i="1"/>
  <c r="D87" i="1" s="1"/>
  <c r="F87" i="1" s="1"/>
  <c r="C75" i="1"/>
  <c r="D75" i="1" s="1"/>
  <c r="F75" i="1" s="1"/>
  <c r="C63" i="1"/>
  <c r="D63" i="1" s="1"/>
  <c r="F63" i="1" s="1"/>
  <c r="C51" i="1"/>
  <c r="D51" i="1" s="1"/>
  <c r="F51" i="1" s="1"/>
  <c r="C39" i="1"/>
  <c r="D39" i="1" s="1"/>
  <c r="F39" i="1" s="1"/>
  <c r="C23" i="1"/>
  <c r="D23" i="1" s="1"/>
  <c r="F23" i="1" s="1"/>
  <c r="C11" i="1"/>
  <c r="D11" i="1" s="1"/>
  <c r="F11" i="1" s="1"/>
  <c r="C254" i="1"/>
  <c r="D254" i="1" s="1"/>
  <c r="F254" i="1" s="1"/>
  <c r="C242" i="1"/>
  <c r="D242" i="1" s="1"/>
  <c r="F242" i="1" s="1"/>
  <c r="C230" i="1"/>
  <c r="D230" i="1" s="1"/>
  <c r="F230" i="1" s="1"/>
  <c r="C218" i="1"/>
  <c r="D218" i="1" s="1"/>
  <c r="F218" i="1" s="1"/>
  <c r="C206" i="1"/>
  <c r="D206" i="1" s="1"/>
  <c r="F206" i="1" s="1"/>
  <c r="C194" i="1"/>
  <c r="D194" i="1" s="1"/>
  <c r="F194" i="1" s="1"/>
  <c r="C182" i="1"/>
  <c r="D182" i="1" s="1"/>
  <c r="F182" i="1" s="1"/>
  <c r="C170" i="1"/>
  <c r="D170" i="1" s="1"/>
  <c r="F170" i="1" s="1"/>
  <c r="C158" i="1"/>
  <c r="D158" i="1" s="1"/>
  <c r="F158" i="1" s="1"/>
  <c r="C146" i="1"/>
  <c r="D146" i="1" s="1"/>
  <c r="F146" i="1" s="1"/>
  <c r="C134" i="1"/>
  <c r="D134" i="1" s="1"/>
  <c r="F134" i="1" s="1"/>
  <c r="C122" i="1"/>
  <c r="D122" i="1" s="1"/>
  <c r="F122" i="1" s="1"/>
  <c r="C110" i="1"/>
  <c r="D110" i="1" s="1"/>
  <c r="F110" i="1" s="1"/>
  <c r="C98" i="1"/>
  <c r="D98" i="1" s="1"/>
  <c r="F98" i="1" s="1"/>
  <c r="C86" i="1"/>
  <c r="D86" i="1" s="1"/>
  <c r="F86" i="1" s="1"/>
  <c r="C74" i="1"/>
  <c r="D74" i="1" s="1"/>
  <c r="F74" i="1" s="1"/>
  <c r="C62" i="1"/>
  <c r="D62" i="1" s="1"/>
  <c r="F62" i="1" s="1"/>
  <c r="C50" i="1"/>
  <c r="D50" i="1" s="1"/>
  <c r="F50" i="1" s="1"/>
  <c r="C38" i="1"/>
  <c r="D38" i="1" s="1"/>
  <c r="F38" i="1" s="1"/>
  <c r="C22" i="1"/>
  <c r="D22" i="1" s="1"/>
  <c r="F22" i="1" s="1"/>
  <c r="C10" i="1"/>
  <c r="D10" i="1" s="1"/>
  <c r="F10" i="1" s="1"/>
  <c r="C253" i="1"/>
  <c r="D253" i="1" s="1"/>
  <c r="F253" i="1" s="1"/>
  <c r="C241" i="1"/>
  <c r="D241" i="1" s="1"/>
  <c r="F241" i="1" s="1"/>
  <c r="C229" i="1"/>
  <c r="D229" i="1" s="1"/>
  <c r="F229" i="1" s="1"/>
  <c r="C217" i="1"/>
  <c r="D217" i="1" s="1"/>
  <c r="F217" i="1" s="1"/>
  <c r="C205" i="1"/>
  <c r="D205" i="1" s="1"/>
  <c r="F205" i="1" s="1"/>
  <c r="C193" i="1"/>
  <c r="D193" i="1" s="1"/>
  <c r="F193" i="1" s="1"/>
  <c r="C181" i="1"/>
  <c r="D181" i="1" s="1"/>
  <c r="F181" i="1" s="1"/>
  <c r="C169" i="1"/>
  <c r="D169" i="1" s="1"/>
  <c r="F169" i="1" s="1"/>
  <c r="C157" i="1"/>
  <c r="D157" i="1" s="1"/>
  <c r="F157" i="1" s="1"/>
  <c r="C145" i="1"/>
  <c r="D145" i="1" s="1"/>
  <c r="F145" i="1" s="1"/>
  <c r="C133" i="1"/>
  <c r="D133" i="1" s="1"/>
  <c r="F133" i="1" s="1"/>
  <c r="C121" i="1"/>
  <c r="D121" i="1" s="1"/>
  <c r="F121" i="1" s="1"/>
  <c r="C109" i="1"/>
  <c r="D109" i="1" s="1"/>
  <c r="F109" i="1" s="1"/>
  <c r="C97" i="1"/>
  <c r="D97" i="1" s="1"/>
  <c r="F97" i="1" s="1"/>
  <c r="C85" i="1"/>
  <c r="D85" i="1" s="1"/>
  <c r="F85" i="1" s="1"/>
  <c r="C73" i="1"/>
  <c r="D73" i="1" s="1"/>
  <c r="F73" i="1" s="1"/>
  <c r="C61" i="1"/>
  <c r="D61" i="1" s="1"/>
  <c r="F61" i="1" s="1"/>
  <c r="C49" i="1"/>
  <c r="D49" i="1" s="1"/>
  <c r="F49" i="1" s="1"/>
  <c r="C37" i="1"/>
  <c r="D37" i="1" s="1"/>
  <c r="F37" i="1" s="1"/>
  <c r="C3" i="1"/>
  <c r="D3" i="1" s="1"/>
  <c r="C21" i="1"/>
  <c r="D21" i="1" s="1"/>
  <c r="F21" i="1" s="1"/>
  <c r="C9" i="1"/>
  <c r="D9" i="1" s="1"/>
  <c r="F9" i="1" s="1"/>
  <c r="C252" i="1"/>
  <c r="D252" i="1" s="1"/>
  <c r="F252" i="1" s="1"/>
  <c r="C240" i="1"/>
  <c r="D240" i="1" s="1"/>
  <c r="F240" i="1" s="1"/>
  <c r="C228" i="1"/>
  <c r="D228" i="1" s="1"/>
  <c r="F228" i="1" s="1"/>
  <c r="C216" i="1"/>
  <c r="D216" i="1" s="1"/>
  <c r="F216" i="1" s="1"/>
  <c r="C204" i="1"/>
  <c r="D204" i="1" s="1"/>
  <c r="F204" i="1" s="1"/>
  <c r="C192" i="1"/>
  <c r="D192" i="1" s="1"/>
  <c r="F192" i="1" s="1"/>
  <c r="C180" i="1"/>
  <c r="D180" i="1" s="1"/>
  <c r="F180" i="1" s="1"/>
  <c r="C168" i="1"/>
  <c r="D168" i="1" s="1"/>
  <c r="F168" i="1" s="1"/>
  <c r="C156" i="1"/>
  <c r="D156" i="1" s="1"/>
  <c r="F156" i="1" s="1"/>
  <c r="C144" i="1"/>
  <c r="D144" i="1" s="1"/>
  <c r="F144" i="1" s="1"/>
  <c r="C132" i="1"/>
  <c r="D132" i="1" s="1"/>
  <c r="F132" i="1" s="1"/>
  <c r="C120" i="1"/>
  <c r="D120" i="1" s="1"/>
  <c r="F120" i="1" s="1"/>
  <c r="C108" i="1"/>
  <c r="D108" i="1" s="1"/>
  <c r="F108" i="1" s="1"/>
  <c r="C96" i="1"/>
  <c r="D96" i="1" s="1"/>
  <c r="F96" i="1" s="1"/>
  <c r="C84" i="1"/>
  <c r="D84" i="1" s="1"/>
  <c r="F84" i="1" s="1"/>
  <c r="C72" i="1"/>
  <c r="D72" i="1" s="1"/>
  <c r="F72" i="1" s="1"/>
  <c r="C60" i="1"/>
  <c r="D60" i="1" s="1"/>
  <c r="F60" i="1" s="1"/>
  <c r="C48" i="1"/>
  <c r="D48" i="1" s="1"/>
  <c r="F48" i="1" s="1"/>
  <c r="C36" i="1"/>
  <c r="D36" i="1" s="1"/>
  <c r="F36" i="1" s="1"/>
  <c r="C4" i="1"/>
  <c r="C20" i="1"/>
  <c r="D20" i="1" s="1"/>
  <c r="F20" i="1" s="1"/>
  <c r="C8" i="1"/>
  <c r="D8" i="1" s="1"/>
  <c r="F8" i="1" s="1"/>
  <c r="C251" i="1"/>
  <c r="D251" i="1" s="1"/>
  <c r="F251" i="1" s="1"/>
  <c r="C239" i="1"/>
  <c r="D239" i="1" s="1"/>
  <c r="F239" i="1" s="1"/>
  <c r="C227" i="1"/>
  <c r="D227" i="1" s="1"/>
  <c r="F227" i="1" s="1"/>
  <c r="C215" i="1"/>
  <c r="D215" i="1" s="1"/>
  <c r="F215" i="1" s="1"/>
  <c r="C203" i="1"/>
  <c r="D203" i="1" s="1"/>
  <c r="F203" i="1" s="1"/>
  <c r="C191" i="1"/>
  <c r="D191" i="1" s="1"/>
  <c r="F191" i="1" s="1"/>
  <c r="C179" i="1"/>
  <c r="D179" i="1" s="1"/>
  <c r="F179" i="1" s="1"/>
  <c r="C167" i="1"/>
  <c r="D167" i="1" s="1"/>
  <c r="F167" i="1" s="1"/>
  <c r="C155" i="1"/>
  <c r="D155" i="1" s="1"/>
  <c r="F155" i="1" s="1"/>
  <c r="C143" i="1"/>
  <c r="D143" i="1" s="1"/>
  <c r="F143" i="1" s="1"/>
  <c r="C131" i="1"/>
  <c r="D131" i="1" s="1"/>
  <c r="F131" i="1" s="1"/>
  <c r="C119" i="1"/>
  <c r="D119" i="1" s="1"/>
  <c r="F119" i="1" s="1"/>
  <c r="C107" i="1"/>
  <c r="D107" i="1" s="1"/>
  <c r="F107" i="1" s="1"/>
  <c r="C95" i="1"/>
  <c r="D95" i="1" s="1"/>
  <c r="F95" i="1" s="1"/>
  <c r="C83" i="1"/>
  <c r="D83" i="1" s="1"/>
  <c r="F83" i="1" s="1"/>
  <c r="C71" i="1"/>
  <c r="D71" i="1" s="1"/>
  <c r="F71" i="1" s="1"/>
  <c r="C59" i="1"/>
  <c r="D59" i="1" s="1"/>
  <c r="F59" i="1" s="1"/>
  <c r="C47" i="1"/>
  <c r="D47" i="1" s="1"/>
  <c r="F47" i="1" s="1"/>
  <c r="C35" i="1"/>
  <c r="D35" i="1" s="1"/>
  <c r="F35" i="1" s="1"/>
  <c r="C30" i="1"/>
  <c r="D30" i="1" s="1"/>
  <c r="F30" i="1" s="1"/>
  <c r="C18" i="1"/>
  <c r="D18" i="1" s="1"/>
  <c r="F18" i="1" s="1"/>
  <c r="C6" i="1"/>
  <c r="D6" i="1" s="1"/>
  <c r="F6" i="1" s="1"/>
  <c r="C249" i="1"/>
  <c r="D249" i="1" s="1"/>
  <c r="F249" i="1" s="1"/>
  <c r="C237" i="1"/>
  <c r="D237" i="1" s="1"/>
  <c r="F237" i="1" s="1"/>
  <c r="C225" i="1"/>
  <c r="D225" i="1" s="1"/>
  <c r="F225" i="1" s="1"/>
  <c r="C213" i="1"/>
  <c r="D213" i="1" s="1"/>
  <c r="F213" i="1" s="1"/>
  <c r="C201" i="1"/>
  <c r="D201" i="1" s="1"/>
  <c r="F201" i="1" s="1"/>
  <c r="C189" i="1"/>
  <c r="D189" i="1" s="1"/>
  <c r="F189" i="1" s="1"/>
  <c r="C177" i="1"/>
  <c r="D177" i="1" s="1"/>
  <c r="F177" i="1" s="1"/>
  <c r="C165" i="1"/>
  <c r="D165" i="1" s="1"/>
  <c r="F165" i="1" s="1"/>
  <c r="C153" i="1"/>
  <c r="D153" i="1" s="1"/>
  <c r="F153" i="1" s="1"/>
  <c r="C141" i="1"/>
  <c r="D141" i="1" s="1"/>
  <c r="F141" i="1" s="1"/>
  <c r="C129" i="1"/>
  <c r="D129" i="1" s="1"/>
  <c r="F129" i="1" s="1"/>
  <c r="C117" i="1"/>
  <c r="D117" i="1" s="1"/>
  <c r="F117" i="1" s="1"/>
  <c r="C105" i="1"/>
  <c r="D105" i="1" s="1"/>
  <c r="F105" i="1" s="1"/>
  <c r="C93" i="1"/>
  <c r="D93" i="1" s="1"/>
  <c r="F93" i="1" s="1"/>
  <c r="C81" i="1"/>
  <c r="D81" i="1" s="1"/>
  <c r="F81" i="1" s="1"/>
  <c r="C69" i="1"/>
  <c r="D69" i="1" s="1"/>
  <c r="F69" i="1" s="1"/>
  <c r="C57" i="1"/>
  <c r="D57" i="1" s="1"/>
  <c r="F57" i="1" s="1"/>
  <c r="C45" i="1"/>
  <c r="D45" i="1" s="1"/>
  <c r="F45" i="1" s="1"/>
  <c r="D4" i="1" l="1"/>
  <c r="F4" i="1" s="1"/>
  <c r="D259" i="1"/>
</calcChain>
</file>

<file path=xl/sharedStrings.xml><?xml version="1.0" encoding="utf-8"?>
<sst xmlns="http://schemas.openxmlformats.org/spreadsheetml/2006/main" count="24" uniqueCount="21">
  <si>
    <t>norm</t>
  </si>
  <si>
    <t>Slope</t>
  </si>
  <si>
    <t>MinDyn</t>
  </si>
  <si>
    <t>Timer</t>
  </si>
  <si>
    <t>MIDI Dyn</t>
  </si>
  <si>
    <t>Mindyn+1/t</t>
  </si>
  <si>
    <t>1/t Slope</t>
  </si>
  <si>
    <t>hier eintragen:</t>
  </si>
  <si>
    <t>1/Slope =</t>
  </si>
  <si>
    <t>Werte von 1 bis 100</t>
  </si>
  <si>
    <t>MinDyn/127=</t>
  </si>
  <si>
    <t>Tabelle für Tasten-Anschlagdynamik</t>
  </si>
  <si>
    <t>DynFac</t>
  </si>
  <si>
    <t>Alte Version</t>
  </si>
  <si>
    <t>(127)</t>
  </si>
  <si>
    <t>Dynfac-Decay</t>
  </si>
  <si>
    <t>1000/Slope =</t>
  </si>
  <si>
    <t>Integer 1/t</t>
  </si>
  <si>
    <t>Intfac</t>
  </si>
  <si>
    <t>1/t</t>
  </si>
  <si>
    <t>1/t + MinDyn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</si>
</sst>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 tint="0.499984740745262"/>
      <name val="Arial"/>
      <family val="2"/>
    </font>
    <font>
      <sz val="10"/>
      <color rgb="FF76B531"/>
      <name val="Arial"/>
      <family val="2"/>
    </font>
    <font>
      <b/>
      <sz val="10"/>
      <color rgb="FF7030A0"/>
      <name val="Arial"/>
      <family val="2"/>
    </font>
    <font>
      <b/>
      <sz val="10"/>
      <color rgb="FF76B5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5" fillId="0" borderId="0" xfId="0" quotePrefix="1" applyFont="1" applyAlignment="1">
      <alignment horizontal="left"/>
    </xf>
    <xf numFmtId="0" fontId="8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quotePrefix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76B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/>
              <a:t>Dynamik-Kurven mit 1/t und Dynfac-Decay zum Vergleich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5764906505330903E-2"/>
          <c:y val="6.4635669315811953E-2"/>
          <c:w val="0.92622281536841788"/>
          <c:h val="0.8814952298608707"/>
        </c:manualLayout>
      </c:layout>
      <c:lineChart>
        <c:grouping val="standard"/>
        <c:varyColors val="0"/>
        <c:ser>
          <c:idx val="4"/>
          <c:order val="0"/>
          <c:tx>
            <c:v>Linear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Tabelle1!$B$4:$B$259</c:f>
              <c:numCache>
                <c:formatCode>General</c:formatCode>
                <c:ptCount val="256"/>
                <c:pt idx="0">
                  <c:v>1</c:v>
                </c:pt>
                <c:pt idx="1">
                  <c:v>0.99607843137254903</c:v>
                </c:pt>
                <c:pt idx="2">
                  <c:v>0.99215686274509807</c:v>
                </c:pt>
                <c:pt idx="3">
                  <c:v>0.9882352941176471</c:v>
                </c:pt>
                <c:pt idx="4">
                  <c:v>0.98431372549019602</c:v>
                </c:pt>
                <c:pt idx="5">
                  <c:v>0.98039215686274506</c:v>
                </c:pt>
                <c:pt idx="6">
                  <c:v>0.97647058823529409</c:v>
                </c:pt>
                <c:pt idx="7">
                  <c:v>0.97254901960784312</c:v>
                </c:pt>
                <c:pt idx="8">
                  <c:v>0.96862745098039216</c:v>
                </c:pt>
                <c:pt idx="9">
                  <c:v>0.96470588235294119</c:v>
                </c:pt>
                <c:pt idx="10">
                  <c:v>0.96078431372549022</c:v>
                </c:pt>
                <c:pt idx="11">
                  <c:v>0.95686274509803926</c:v>
                </c:pt>
                <c:pt idx="12">
                  <c:v>0.95294117647058818</c:v>
                </c:pt>
                <c:pt idx="13">
                  <c:v>0.94901960784313721</c:v>
                </c:pt>
                <c:pt idx="14">
                  <c:v>0.94509803921568625</c:v>
                </c:pt>
                <c:pt idx="15">
                  <c:v>0.94117647058823528</c:v>
                </c:pt>
                <c:pt idx="16">
                  <c:v>0.93725490196078431</c:v>
                </c:pt>
                <c:pt idx="17">
                  <c:v>0.93333333333333335</c:v>
                </c:pt>
                <c:pt idx="18">
                  <c:v>0.92941176470588238</c:v>
                </c:pt>
                <c:pt idx="19">
                  <c:v>0.92549019607843142</c:v>
                </c:pt>
                <c:pt idx="20">
                  <c:v>0.92156862745098034</c:v>
                </c:pt>
                <c:pt idx="21">
                  <c:v>0.91764705882352937</c:v>
                </c:pt>
                <c:pt idx="22">
                  <c:v>0.9137254901960784</c:v>
                </c:pt>
                <c:pt idx="23">
                  <c:v>0.90980392156862744</c:v>
                </c:pt>
                <c:pt idx="24">
                  <c:v>0.90588235294117647</c:v>
                </c:pt>
                <c:pt idx="25">
                  <c:v>0.90196078431372551</c:v>
                </c:pt>
                <c:pt idx="26">
                  <c:v>0.89803921568627454</c:v>
                </c:pt>
                <c:pt idx="27">
                  <c:v>0.89411764705882357</c:v>
                </c:pt>
                <c:pt idx="28">
                  <c:v>0.8901960784313725</c:v>
                </c:pt>
                <c:pt idx="29">
                  <c:v>0.88627450980392153</c:v>
                </c:pt>
                <c:pt idx="30">
                  <c:v>0.88235294117647056</c:v>
                </c:pt>
                <c:pt idx="31">
                  <c:v>0.8784313725490196</c:v>
                </c:pt>
                <c:pt idx="32">
                  <c:v>0.87450980392156863</c:v>
                </c:pt>
                <c:pt idx="33">
                  <c:v>0.87058823529411766</c:v>
                </c:pt>
                <c:pt idx="34">
                  <c:v>0.8666666666666667</c:v>
                </c:pt>
                <c:pt idx="35">
                  <c:v>0.86274509803921573</c:v>
                </c:pt>
                <c:pt idx="36">
                  <c:v>0.85882352941176465</c:v>
                </c:pt>
                <c:pt idx="37">
                  <c:v>0.85490196078431369</c:v>
                </c:pt>
                <c:pt idx="38">
                  <c:v>0.85098039215686272</c:v>
                </c:pt>
                <c:pt idx="39">
                  <c:v>0.84705882352941175</c:v>
                </c:pt>
                <c:pt idx="40">
                  <c:v>0.84313725490196079</c:v>
                </c:pt>
                <c:pt idx="41">
                  <c:v>0.83921568627450982</c:v>
                </c:pt>
                <c:pt idx="42">
                  <c:v>0.83529411764705885</c:v>
                </c:pt>
                <c:pt idx="43">
                  <c:v>0.83137254901960789</c:v>
                </c:pt>
                <c:pt idx="44">
                  <c:v>0.82745098039215681</c:v>
                </c:pt>
                <c:pt idx="45">
                  <c:v>0.82352941176470584</c:v>
                </c:pt>
                <c:pt idx="46">
                  <c:v>0.81960784313725488</c:v>
                </c:pt>
                <c:pt idx="47">
                  <c:v>0.81568627450980391</c:v>
                </c:pt>
                <c:pt idx="48">
                  <c:v>0.81176470588235294</c:v>
                </c:pt>
                <c:pt idx="49">
                  <c:v>0.80784313725490198</c:v>
                </c:pt>
                <c:pt idx="50">
                  <c:v>0.80392156862745101</c:v>
                </c:pt>
                <c:pt idx="51">
                  <c:v>0.8</c:v>
                </c:pt>
                <c:pt idx="52">
                  <c:v>0.79607843137254897</c:v>
                </c:pt>
                <c:pt idx="53">
                  <c:v>0.792156862745098</c:v>
                </c:pt>
                <c:pt idx="54">
                  <c:v>0.78823529411764703</c:v>
                </c:pt>
                <c:pt idx="55">
                  <c:v>0.78431372549019607</c:v>
                </c:pt>
                <c:pt idx="56">
                  <c:v>0.7803921568627451</c:v>
                </c:pt>
                <c:pt idx="57">
                  <c:v>0.77647058823529413</c:v>
                </c:pt>
                <c:pt idx="58">
                  <c:v>0.77254901960784317</c:v>
                </c:pt>
                <c:pt idx="59">
                  <c:v>0.7686274509803922</c:v>
                </c:pt>
                <c:pt idx="60">
                  <c:v>0.76470588235294112</c:v>
                </c:pt>
                <c:pt idx="61">
                  <c:v>0.76078431372549016</c:v>
                </c:pt>
                <c:pt idx="62">
                  <c:v>0.75686274509803919</c:v>
                </c:pt>
                <c:pt idx="63">
                  <c:v>0.75294117647058822</c:v>
                </c:pt>
                <c:pt idx="64">
                  <c:v>0.74901960784313726</c:v>
                </c:pt>
                <c:pt idx="65">
                  <c:v>0.74509803921568629</c:v>
                </c:pt>
                <c:pt idx="66">
                  <c:v>0.74117647058823533</c:v>
                </c:pt>
                <c:pt idx="67">
                  <c:v>0.73725490196078436</c:v>
                </c:pt>
                <c:pt idx="68">
                  <c:v>0.73333333333333328</c:v>
                </c:pt>
                <c:pt idx="69">
                  <c:v>0.72941176470588232</c:v>
                </c:pt>
                <c:pt idx="70">
                  <c:v>0.72549019607843135</c:v>
                </c:pt>
                <c:pt idx="71">
                  <c:v>0.72156862745098038</c:v>
                </c:pt>
                <c:pt idx="72">
                  <c:v>0.71764705882352942</c:v>
                </c:pt>
                <c:pt idx="73">
                  <c:v>0.71372549019607845</c:v>
                </c:pt>
                <c:pt idx="74">
                  <c:v>0.70980392156862748</c:v>
                </c:pt>
                <c:pt idx="75">
                  <c:v>0.70588235294117652</c:v>
                </c:pt>
                <c:pt idx="76">
                  <c:v>0.70196078431372544</c:v>
                </c:pt>
                <c:pt idx="77">
                  <c:v>0.69803921568627447</c:v>
                </c:pt>
                <c:pt idx="78">
                  <c:v>0.69411764705882351</c:v>
                </c:pt>
                <c:pt idx="79">
                  <c:v>0.69019607843137254</c:v>
                </c:pt>
                <c:pt idx="80">
                  <c:v>0.68627450980392157</c:v>
                </c:pt>
                <c:pt idx="81">
                  <c:v>0.68235294117647061</c:v>
                </c:pt>
                <c:pt idx="82">
                  <c:v>0.67843137254901964</c:v>
                </c:pt>
                <c:pt idx="83">
                  <c:v>0.67450980392156867</c:v>
                </c:pt>
                <c:pt idx="84">
                  <c:v>0.6705882352941176</c:v>
                </c:pt>
                <c:pt idx="85">
                  <c:v>0.66666666666666663</c:v>
                </c:pt>
                <c:pt idx="86">
                  <c:v>0.66274509803921566</c:v>
                </c:pt>
                <c:pt idx="87">
                  <c:v>0.6588235294117647</c:v>
                </c:pt>
                <c:pt idx="88">
                  <c:v>0.65490196078431373</c:v>
                </c:pt>
                <c:pt idx="89">
                  <c:v>0.65098039215686276</c:v>
                </c:pt>
                <c:pt idx="90">
                  <c:v>0.6470588235294118</c:v>
                </c:pt>
                <c:pt idx="91">
                  <c:v>0.64313725490196083</c:v>
                </c:pt>
                <c:pt idx="92">
                  <c:v>0.63921568627450975</c:v>
                </c:pt>
                <c:pt idx="93">
                  <c:v>0.63529411764705879</c:v>
                </c:pt>
                <c:pt idx="94">
                  <c:v>0.63137254901960782</c:v>
                </c:pt>
                <c:pt idx="95">
                  <c:v>0.62745098039215685</c:v>
                </c:pt>
                <c:pt idx="96">
                  <c:v>0.62352941176470589</c:v>
                </c:pt>
                <c:pt idx="97">
                  <c:v>0.61960784313725492</c:v>
                </c:pt>
                <c:pt idx="98">
                  <c:v>0.61568627450980395</c:v>
                </c:pt>
                <c:pt idx="99">
                  <c:v>0.61176470588235299</c:v>
                </c:pt>
                <c:pt idx="100">
                  <c:v>0.60784313725490191</c:v>
                </c:pt>
                <c:pt idx="101">
                  <c:v>0.60392156862745094</c:v>
                </c:pt>
                <c:pt idx="102">
                  <c:v>0.6</c:v>
                </c:pt>
                <c:pt idx="103">
                  <c:v>0.59607843137254901</c:v>
                </c:pt>
                <c:pt idx="104">
                  <c:v>0.59215686274509804</c:v>
                </c:pt>
                <c:pt idx="105">
                  <c:v>0.58823529411764708</c:v>
                </c:pt>
                <c:pt idx="106">
                  <c:v>0.58431372549019611</c:v>
                </c:pt>
                <c:pt idx="107">
                  <c:v>0.58039215686274515</c:v>
                </c:pt>
                <c:pt idx="108">
                  <c:v>0.57647058823529407</c:v>
                </c:pt>
                <c:pt idx="109">
                  <c:v>0.5725490196078431</c:v>
                </c:pt>
                <c:pt idx="110">
                  <c:v>0.56862745098039214</c:v>
                </c:pt>
                <c:pt idx="111">
                  <c:v>0.56470588235294117</c:v>
                </c:pt>
                <c:pt idx="112">
                  <c:v>0.5607843137254902</c:v>
                </c:pt>
                <c:pt idx="113">
                  <c:v>0.55686274509803924</c:v>
                </c:pt>
                <c:pt idx="114">
                  <c:v>0.55294117647058827</c:v>
                </c:pt>
                <c:pt idx="115">
                  <c:v>0.5490196078431373</c:v>
                </c:pt>
                <c:pt idx="116">
                  <c:v>0.54509803921568623</c:v>
                </c:pt>
                <c:pt idx="117">
                  <c:v>0.54117647058823526</c:v>
                </c:pt>
                <c:pt idx="118">
                  <c:v>0.53725490196078429</c:v>
                </c:pt>
                <c:pt idx="119">
                  <c:v>0.53333333333333333</c:v>
                </c:pt>
                <c:pt idx="120">
                  <c:v>0.52941176470588236</c:v>
                </c:pt>
                <c:pt idx="121">
                  <c:v>0.52549019607843139</c:v>
                </c:pt>
                <c:pt idx="122">
                  <c:v>0.52156862745098043</c:v>
                </c:pt>
                <c:pt idx="123">
                  <c:v>0.51764705882352946</c:v>
                </c:pt>
                <c:pt idx="124">
                  <c:v>0.51372549019607838</c:v>
                </c:pt>
                <c:pt idx="125">
                  <c:v>0.50980392156862742</c:v>
                </c:pt>
                <c:pt idx="126">
                  <c:v>0.50588235294117645</c:v>
                </c:pt>
                <c:pt idx="127">
                  <c:v>0.50196078431372548</c:v>
                </c:pt>
                <c:pt idx="128">
                  <c:v>0.49803921568627452</c:v>
                </c:pt>
                <c:pt idx="129">
                  <c:v>0.49411764705882355</c:v>
                </c:pt>
                <c:pt idx="130">
                  <c:v>0.49019607843137253</c:v>
                </c:pt>
                <c:pt idx="131">
                  <c:v>0.48627450980392156</c:v>
                </c:pt>
                <c:pt idx="132">
                  <c:v>0.4823529411764706</c:v>
                </c:pt>
                <c:pt idx="133">
                  <c:v>0.47843137254901963</c:v>
                </c:pt>
                <c:pt idx="134">
                  <c:v>0.47450980392156861</c:v>
                </c:pt>
                <c:pt idx="135">
                  <c:v>0.47058823529411764</c:v>
                </c:pt>
                <c:pt idx="136">
                  <c:v>0.46666666666666667</c:v>
                </c:pt>
                <c:pt idx="137">
                  <c:v>0.46274509803921571</c:v>
                </c:pt>
                <c:pt idx="138">
                  <c:v>0.45882352941176469</c:v>
                </c:pt>
                <c:pt idx="139">
                  <c:v>0.45490196078431372</c:v>
                </c:pt>
                <c:pt idx="140">
                  <c:v>0.45098039215686275</c:v>
                </c:pt>
                <c:pt idx="141">
                  <c:v>0.44705882352941179</c:v>
                </c:pt>
                <c:pt idx="142">
                  <c:v>0.44313725490196076</c:v>
                </c:pt>
                <c:pt idx="143">
                  <c:v>0.4392156862745098</c:v>
                </c:pt>
                <c:pt idx="144">
                  <c:v>0.43529411764705883</c:v>
                </c:pt>
                <c:pt idx="145">
                  <c:v>0.43137254901960786</c:v>
                </c:pt>
                <c:pt idx="146">
                  <c:v>0.42745098039215684</c:v>
                </c:pt>
                <c:pt idx="147">
                  <c:v>0.42352941176470588</c:v>
                </c:pt>
                <c:pt idx="148">
                  <c:v>0.41960784313725491</c:v>
                </c:pt>
                <c:pt idx="149">
                  <c:v>0.41568627450980394</c:v>
                </c:pt>
                <c:pt idx="150">
                  <c:v>0.41176470588235292</c:v>
                </c:pt>
                <c:pt idx="151">
                  <c:v>0.40784313725490196</c:v>
                </c:pt>
                <c:pt idx="152">
                  <c:v>0.40392156862745099</c:v>
                </c:pt>
                <c:pt idx="153">
                  <c:v>0.4</c:v>
                </c:pt>
                <c:pt idx="154">
                  <c:v>0.396078431372549</c:v>
                </c:pt>
                <c:pt idx="155">
                  <c:v>0.39215686274509803</c:v>
                </c:pt>
                <c:pt idx="156">
                  <c:v>0.38823529411764707</c:v>
                </c:pt>
                <c:pt idx="157">
                  <c:v>0.3843137254901961</c:v>
                </c:pt>
                <c:pt idx="158">
                  <c:v>0.38039215686274508</c:v>
                </c:pt>
                <c:pt idx="159">
                  <c:v>0.37647058823529411</c:v>
                </c:pt>
                <c:pt idx="160">
                  <c:v>0.37254901960784315</c:v>
                </c:pt>
                <c:pt idx="161">
                  <c:v>0.36862745098039218</c:v>
                </c:pt>
                <c:pt idx="162">
                  <c:v>0.36470588235294116</c:v>
                </c:pt>
                <c:pt idx="163">
                  <c:v>0.36078431372549019</c:v>
                </c:pt>
                <c:pt idx="164">
                  <c:v>0.35686274509803922</c:v>
                </c:pt>
                <c:pt idx="165">
                  <c:v>0.35294117647058826</c:v>
                </c:pt>
                <c:pt idx="166">
                  <c:v>0.34901960784313724</c:v>
                </c:pt>
                <c:pt idx="167">
                  <c:v>0.34509803921568627</c:v>
                </c:pt>
                <c:pt idx="168">
                  <c:v>0.3411764705882353</c:v>
                </c:pt>
                <c:pt idx="169">
                  <c:v>0.33725490196078434</c:v>
                </c:pt>
                <c:pt idx="170">
                  <c:v>0.33333333333333331</c:v>
                </c:pt>
                <c:pt idx="171">
                  <c:v>0.32941176470588235</c:v>
                </c:pt>
                <c:pt idx="172">
                  <c:v>0.32549019607843138</c:v>
                </c:pt>
                <c:pt idx="173">
                  <c:v>0.32156862745098042</c:v>
                </c:pt>
                <c:pt idx="174">
                  <c:v>0.31764705882352939</c:v>
                </c:pt>
                <c:pt idx="175">
                  <c:v>0.31372549019607843</c:v>
                </c:pt>
                <c:pt idx="176">
                  <c:v>0.30980392156862746</c:v>
                </c:pt>
                <c:pt idx="177">
                  <c:v>0.30588235294117649</c:v>
                </c:pt>
                <c:pt idx="178">
                  <c:v>0.30196078431372547</c:v>
                </c:pt>
                <c:pt idx="179">
                  <c:v>0.29803921568627451</c:v>
                </c:pt>
                <c:pt idx="180">
                  <c:v>0.29411764705882354</c:v>
                </c:pt>
                <c:pt idx="181">
                  <c:v>0.29019607843137257</c:v>
                </c:pt>
                <c:pt idx="182">
                  <c:v>0.28627450980392155</c:v>
                </c:pt>
                <c:pt idx="183">
                  <c:v>0.28235294117647058</c:v>
                </c:pt>
                <c:pt idx="184">
                  <c:v>0.27843137254901962</c:v>
                </c:pt>
                <c:pt idx="185">
                  <c:v>0.27450980392156865</c:v>
                </c:pt>
                <c:pt idx="186">
                  <c:v>0.27058823529411763</c:v>
                </c:pt>
                <c:pt idx="187">
                  <c:v>0.26666666666666666</c:v>
                </c:pt>
                <c:pt idx="188">
                  <c:v>0.2627450980392157</c:v>
                </c:pt>
                <c:pt idx="189">
                  <c:v>0.25882352941176473</c:v>
                </c:pt>
                <c:pt idx="190">
                  <c:v>0.25490196078431371</c:v>
                </c:pt>
                <c:pt idx="191">
                  <c:v>0.25098039215686274</c:v>
                </c:pt>
                <c:pt idx="192">
                  <c:v>0.24705882352941178</c:v>
                </c:pt>
                <c:pt idx="193">
                  <c:v>0.24313725490196078</c:v>
                </c:pt>
                <c:pt idx="194">
                  <c:v>0.23921568627450981</c:v>
                </c:pt>
                <c:pt idx="195">
                  <c:v>0.23529411764705882</c:v>
                </c:pt>
                <c:pt idx="196">
                  <c:v>0.23137254901960785</c:v>
                </c:pt>
                <c:pt idx="197">
                  <c:v>0.22745098039215686</c:v>
                </c:pt>
                <c:pt idx="198">
                  <c:v>0.22352941176470589</c:v>
                </c:pt>
                <c:pt idx="199">
                  <c:v>0.2196078431372549</c:v>
                </c:pt>
                <c:pt idx="200">
                  <c:v>0.21568627450980393</c:v>
                </c:pt>
                <c:pt idx="201">
                  <c:v>0.21176470588235294</c:v>
                </c:pt>
                <c:pt idx="202">
                  <c:v>0.20784313725490197</c:v>
                </c:pt>
                <c:pt idx="203">
                  <c:v>0.20392156862745098</c:v>
                </c:pt>
                <c:pt idx="204">
                  <c:v>0.2</c:v>
                </c:pt>
                <c:pt idx="205">
                  <c:v>0.19607843137254902</c:v>
                </c:pt>
                <c:pt idx="206">
                  <c:v>0.19215686274509805</c:v>
                </c:pt>
                <c:pt idx="207">
                  <c:v>0.18823529411764706</c:v>
                </c:pt>
                <c:pt idx="208">
                  <c:v>0.18431372549019609</c:v>
                </c:pt>
                <c:pt idx="209">
                  <c:v>0.1803921568627451</c:v>
                </c:pt>
                <c:pt idx="210">
                  <c:v>0.17647058823529413</c:v>
                </c:pt>
                <c:pt idx="211">
                  <c:v>0.17254901960784313</c:v>
                </c:pt>
                <c:pt idx="212">
                  <c:v>0.16862745098039217</c:v>
                </c:pt>
                <c:pt idx="213">
                  <c:v>0.16470588235294117</c:v>
                </c:pt>
                <c:pt idx="214">
                  <c:v>0.16078431372549021</c:v>
                </c:pt>
                <c:pt idx="215">
                  <c:v>0.15686274509803921</c:v>
                </c:pt>
                <c:pt idx="216">
                  <c:v>0.15294117647058825</c:v>
                </c:pt>
                <c:pt idx="217">
                  <c:v>0.14901960784313725</c:v>
                </c:pt>
                <c:pt idx="218">
                  <c:v>0.14509803921568629</c:v>
                </c:pt>
                <c:pt idx="219">
                  <c:v>0.14117647058823529</c:v>
                </c:pt>
                <c:pt idx="220">
                  <c:v>0.13725490196078433</c:v>
                </c:pt>
                <c:pt idx="221">
                  <c:v>0.13333333333333333</c:v>
                </c:pt>
                <c:pt idx="222">
                  <c:v>0.12941176470588237</c:v>
                </c:pt>
                <c:pt idx="223">
                  <c:v>0.12549019607843137</c:v>
                </c:pt>
                <c:pt idx="224">
                  <c:v>0.12156862745098039</c:v>
                </c:pt>
                <c:pt idx="225">
                  <c:v>0.11764705882352941</c:v>
                </c:pt>
                <c:pt idx="226">
                  <c:v>0.11372549019607843</c:v>
                </c:pt>
                <c:pt idx="227">
                  <c:v>0.10980392156862745</c:v>
                </c:pt>
                <c:pt idx="228">
                  <c:v>0.10588235294117647</c:v>
                </c:pt>
                <c:pt idx="229">
                  <c:v>0.10196078431372549</c:v>
                </c:pt>
                <c:pt idx="230">
                  <c:v>9.8039215686274508E-2</c:v>
                </c:pt>
                <c:pt idx="231">
                  <c:v>9.4117647058823528E-2</c:v>
                </c:pt>
                <c:pt idx="232">
                  <c:v>9.0196078431372548E-2</c:v>
                </c:pt>
                <c:pt idx="233">
                  <c:v>8.6274509803921567E-2</c:v>
                </c:pt>
                <c:pt idx="234">
                  <c:v>8.2352941176470587E-2</c:v>
                </c:pt>
                <c:pt idx="235">
                  <c:v>7.8431372549019607E-2</c:v>
                </c:pt>
                <c:pt idx="236">
                  <c:v>7.4509803921568626E-2</c:v>
                </c:pt>
                <c:pt idx="237">
                  <c:v>7.0588235294117646E-2</c:v>
                </c:pt>
                <c:pt idx="238">
                  <c:v>6.6666666666666666E-2</c:v>
                </c:pt>
                <c:pt idx="239">
                  <c:v>6.2745098039215685E-2</c:v>
                </c:pt>
                <c:pt idx="240">
                  <c:v>5.8823529411764705E-2</c:v>
                </c:pt>
                <c:pt idx="241">
                  <c:v>5.4901960784313725E-2</c:v>
                </c:pt>
                <c:pt idx="242">
                  <c:v>5.0980392156862744E-2</c:v>
                </c:pt>
                <c:pt idx="243">
                  <c:v>4.7058823529411764E-2</c:v>
                </c:pt>
                <c:pt idx="244">
                  <c:v>4.3137254901960784E-2</c:v>
                </c:pt>
                <c:pt idx="245">
                  <c:v>3.9215686274509803E-2</c:v>
                </c:pt>
                <c:pt idx="246">
                  <c:v>3.5294117647058823E-2</c:v>
                </c:pt>
                <c:pt idx="247">
                  <c:v>3.1372549019607843E-2</c:v>
                </c:pt>
                <c:pt idx="248">
                  <c:v>2.7450980392156862E-2</c:v>
                </c:pt>
                <c:pt idx="249">
                  <c:v>2.3529411764705882E-2</c:v>
                </c:pt>
                <c:pt idx="250">
                  <c:v>1.9607843137254902E-2</c:v>
                </c:pt>
                <c:pt idx="251">
                  <c:v>1.5686274509803921E-2</c:v>
                </c:pt>
                <c:pt idx="252">
                  <c:v>1.1764705882352941E-2</c:v>
                </c:pt>
                <c:pt idx="253">
                  <c:v>7.8431372549019607E-3</c:v>
                </c:pt>
                <c:pt idx="254">
                  <c:v>3.9215686274509803E-3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55-4F1E-B7B4-6EB4D16AF865}"/>
            </c:ext>
          </c:extLst>
        </c:ser>
        <c:ser>
          <c:idx val="1"/>
          <c:order val="1"/>
          <c:tx>
            <c:v>1/t Slope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Tabelle1!$C$4:$C$259</c:f>
              <c:numCache>
                <c:formatCode>General</c:formatCode>
                <c:ptCount val="256"/>
                <c:pt idx="0">
                  <c:v>0.99999999999999911</c:v>
                </c:pt>
                <c:pt idx="1">
                  <c:v>0.92363636363636314</c:v>
                </c:pt>
                <c:pt idx="2">
                  <c:v>0.8576271186440676</c:v>
                </c:pt>
                <c:pt idx="3">
                  <c:v>0.8</c:v>
                </c:pt>
                <c:pt idx="4">
                  <c:v>0.74925373134328244</c:v>
                </c:pt>
                <c:pt idx="5">
                  <c:v>0.70422535211267523</c:v>
                </c:pt>
                <c:pt idx="6">
                  <c:v>0.66399999999999937</c:v>
                </c:pt>
                <c:pt idx="7">
                  <c:v>0.62784810126582236</c:v>
                </c:pt>
                <c:pt idx="8">
                  <c:v>0.59518072289156598</c:v>
                </c:pt>
                <c:pt idx="9">
                  <c:v>0.56551724137931025</c:v>
                </c:pt>
                <c:pt idx="10">
                  <c:v>0.53846153846153844</c:v>
                </c:pt>
                <c:pt idx="11">
                  <c:v>0.51368421052631585</c:v>
                </c:pt>
                <c:pt idx="12">
                  <c:v>0.49090909090909041</c:v>
                </c:pt>
                <c:pt idx="13">
                  <c:v>0.46990291262135886</c:v>
                </c:pt>
                <c:pt idx="14">
                  <c:v>0.45046728971962585</c:v>
                </c:pt>
                <c:pt idx="15">
                  <c:v>0.43243243243243218</c:v>
                </c:pt>
                <c:pt idx="16">
                  <c:v>0.41565217391304338</c:v>
                </c:pt>
                <c:pt idx="17">
                  <c:v>0.39999999999999991</c:v>
                </c:pt>
                <c:pt idx="18">
                  <c:v>0.38536585365853659</c:v>
                </c:pt>
                <c:pt idx="19">
                  <c:v>0.37165354330708666</c:v>
                </c:pt>
                <c:pt idx="20">
                  <c:v>0.35877862595419824</c:v>
                </c:pt>
                <c:pt idx="21">
                  <c:v>0.34666666666666646</c:v>
                </c:pt>
                <c:pt idx="22">
                  <c:v>0.33525179856115089</c:v>
                </c:pt>
                <c:pt idx="23">
                  <c:v>0.32447552447552436</c:v>
                </c:pt>
                <c:pt idx="24">
                  <c:v>0.31428571428571422</c:v>
                </c:pt>
                <c:pt idx="25">
                  <c:v>0.30463576158940397</c:v>
                </c:pt>
                <c:pt idx="26">
                  <c:v>0.29548387096774192</c:v>
                </c:pt>
                <c:pt idx="27">
                  <c:v>0.28679245283018867</c:v>
                </c:pt>
                <c:pt idx="28">
                  <c:v>0.27852760736196303</c:v>
                </c:pt>
                <c:pt idx="29">
                  <c:v>0.27065868263473036</c:v>
                </c:pt>
                <c:pt idx="30">
                  <c:v>0.26315789473684204</c:v>
                </c:pt>
                <c:pt idx="31">
                  <c:v>0.25599999999999989</c:v>
                </c:pt>
                <c:pt idx="32">
                  <c:v>0.24916201117318432</c:v>
                </c:pt>
                <c:pt idx="33">
                  <c:v>0.24262295081967211</c:v>
                </c:pt>
                <c:pt idx="34">
                  <c:v>0.23636363636363636</c:v>
                </c:pt>
                <c:pt idx="35">
                  <c:v>0.23036649214659688</c:v>
                </c:pt>
                <c:pt idx="36">
                  <c:v>0.22461538461538449</c:v>
                </c:pt>
                <c:pt idx="37">
                  <c:v>0.21909547738693458</c:v>
                </c:pt>
                <c:pt idx="38">
                  <c:v>0.21379310344827579</c:v>
                </c:pt>
                <c:pt idx="39">
                  <c:v>0.208695652173913</c:v>
                </c:pt>
                <c:pt idx="40">
                  <c:v>0.20379146919431276</c:v>
                </c:pt>
                <c:pt idx="41">
                  <c:v>0.19906976744186045</c:v>
                </c:pt>
                <c:pt idx="42">
                  <c:v>0.19452054794520549</c:v>
                </c:pt>
                <c:pt idx="43">
                  <c:v>0.19013452914798207</c:v>
                </c:pt>
                <c:pt idx="44">
                  <c:v>0.18590308370044045</c:v>
                </c:pt>
                <c:pt idx="45">
                  <c:v>0.18181818181818174</c:v>
                </c:pt>
                <c:pt idx="46">
                  <c:v>0.17787234042553188</c:v>
                </c:pt>
                <c:pt idx="47">
                  <c:v>0.1740585774058577</c:v>
                </c:pt>
                <c:pt idx="48">
                  <c:v>0.17037037037037034</c:v>
                </c:pt>
                <c:pt idx="49">
                  <c:v>0.16680161943319838</c:v>
                </c:pt>
                <c:pt idx="50">
                  <c:v>0.16334661354581673</c:v>
                </c:pt>
                <c:pt idx="51">
                  <c:v>0.16000000000000003</c:v>
                </c:pt>
                <c:pt idx="52">
                  <c:v>0.15675675675675668</c:v>
                </c:pt>
                <c:pt idx="53">
                  <c:v>0.15361216730038019</c:v>
                </c:pt>
                <c:pt idx="54">
                  <c:v>0.15056179775280895</c:v>
                </c:pt>
                <c:pt idx="55">
                  <c:v>0.14760147601476012</c:v>
                </c:pt>
                <c:pt idx="56">
                  <c:v>0.14472727272727273</c:v>
                </c:pt>
                <c:pt idx="57">
                  <c:v>0.14193548387096774</c:v>
                </c:pt>
                <c:pt idx="58">
                  <c:v>0.13922261484098941</c:v>
                </c:pt>
                <c:pt idx="59">
                  <c:v>0.13658536585365855</c:v>
                </c:pt>
                <c:pt idx="60">
                  <c:v>0.134020618556701</c:v>
                </c:pt>
                <c:pt idx="61">
                  <c:v>0.13152542372881351</c:v>
                </c:pt>
                <c:pt idx="62">
                  <c:v>0.12909698996655514</c:v>
                </c:pt>
                <c:pt idx="63">
                  <c:v>0.12673267326732673</c:v>
                </c:pt>
                <c:pt idx="64">
                  <c:v>0.12442996742671009</c:v>
                </c:pt>
                <c:pt idx="65">
                  <c:v>0.12218649517684886</c:v>
                </c:pt>
                <c:pt idx="66">
                  <c:v>0.12000000000000001</c:v>
                </c:pt>
                <c:pt idx="67">
                  <c:v>0.11786833855799374</c:v>
                </c:pt>
                <c:pt idx="68">
                  <c:v>0.1157894736842105</c:v>
                </c:pt>
                <c:pt idx="69">
                  <c:v>0.11376146788990822</c:v>
                </c:pt>
                <c:pt idx="70">
                  <c:v>0.11178247734138971</c:v>
                </c:pt>
                <c:pt idx="71">
                  <c:v>0.10985074626865671</c:v>
                </c:pt>
                <c:pt idx="72">
                  <c:v>0.10796460176991149</c:v>
                </c:pt>
                <c:pt idx="73">
                  <c:v>0.10612244897959183</c:v>
                </c:pt>
                <c:pt idx="74">
                  <c:v>0.10432276657060519</c:v>
                </c:pt>
                <c:pt idx="75">
                  <c:v>0.10256410256410259</c:v>
                </c:pt>
                <c:pt idx="76">
                  <c:v>0.10084507042253518</c:v>
                </c:pt>
                <c:pt idx="77">
                  <c:v>9.9164345403899706E-2</c:v>
                </c:pt>
                <c:pt idx="78">
                  <c:v>9.7520661157024777E-2</c:v>
                </c:pt>
                <c:pt idx="79">
                  <c:v>9.5912806539509524E-2</c:v>
                </c:pt>
                <c:pt idx="80">
                  <c:v>9.4339622641509427E-2</c:v>
                </c:pt>
                <c:pt idx="81">
                  <c:v>9.2799999999999994E-2</c:v>
                </c:pt>
                <c:pt idx="82">
                  <c:v>9.1292875989445924E-2</c:v>
                </c:pt>
                <c:pt idx="83">
                  <c:v>8.981723237597912E-2</c:v>
                </c:pt>
                <c:pt idx="84">
                  <c:v>8.8372093023255799E-2</c:v>
                </c:pt>
                <c:pt idx="85">
                  <c:v>8.6956521739130418E-2</c:v>
                </c:pt>
                <c:pt idx="86">
                  <c:v>8.556962025316453E-2</c:v>
                </c:pt>
                <c:pt idx="87">
                  <c:v>8.4210526315789472E-2</c:v>
                </c:pt>
                <c:pt idx="88">
                  <c:v>8.2878411910669969E-2</c:v>
                </c:pt>
                <c:pt idx="89">
                  <c:v>8.1572481572481578E-2</c:v>
                </c:pt>
                <c:pt idx="90">
                  <c:v>8.0291970802919707E-2</c:v>
                </c:pt>
                <c:pt idx="91">
                  <c:v>7.9036144578313261E-2</c:v>
                </c:pt>
                <c:pt idx="92">
                  <c:v>7.7804295942720744E-2</c:v>
                </c:pt>
                <c:pt idx="93">
                  <c:v>7.6595744680851036E-2</c:v>
                </c:pt>
                <c:pt idx="94">
                  <c:v>7.5409836065573763E-2</c:v>
                </c:pt>
                <c:pt idx="95">
                  <c:v>7.4245939675173997E-2</c:v>
                </c:pt>
                <c:pt idx="96">
                  <c:v>7.3103448275862071E-2</c:v>
                </c:pt>
                <c:pt idx="97">
                  <c:v>7.1981776765375857E-2</c:v>
                </c:pt>
                <c:pt idx="98">
                  <c:v>7.088036117381491E-2</c:v>
                </c:pt>
                <c:pt idx="99">
                  <c:v>6.9798657718120813E-2</c:v>
                </c:pt>
                <c:pt idx="100">
                  <c:v>6.8736141906873605E-2</c:v>
                </c:pt>
                <c:pt idx="101">
                  <c:v>6.7692307692307677E-2</c:v>
                </c:pt>
                <c:pt idx="102">
                  <c:v>6.6666666666666652E-2</c:v>
                </c:pt>
                <c:pt idx="103">
                  <c:v>6.565874730021598E-2</c:v>
                </c:pt>
                <c:pt idx="104">
                  <c:v>6.466809421841542E-2</c:v>
                </c:pt>
                <c:pt idx="105">
                  <c:v>6.3694267515923567E-2</c:v>
                </c:pt>
                <c:pt idx="106">
                  <c:v>6.273684210526316E-2</c:v>
                </c:pt>
                <c:pt idx="107">
                  <c:v>6.1795407098121091E-2</c:v>
                </c:pt>
                <c:pt idx="108">
                  <c:v>6.0869565217391293E-2</c:v>
                </c:pt>
                <c:pt idx="109">
                  <c:v>5.9958932238193006E-2</c:v>
                </c:pt>
                <c:pt idx="110">
                  <c:v>5.9063136456211807E-2</c:v>
                </c:pt>
                <c:pt idx="111">
                  <c:v>5.8181818181818175E-2</c:v>
                </c:pt>
                <c:pt idx="112">
                  <c:v>5.7314629258517033E-2</c:v>
                </c:pt>
                <c:pt idx="113">
                  <c:v>5.6461232604373759E-2</c:v>
                </c:pt>
                <c:pt idx="114">
                  <c:v>5.562130177514793E-2</c:v>
                </c:pt>
                <c:pt idx="115">
                  <c:v>5.4794520547945209E-2</c:v>
                </c:pt>
                <c:pt idx="116">
                  <c:v>5.3980582524271827E-2</c:v>
                </c:pt>
                <c:pt idx="117">
                  <c:v>5.3179190751445074E-2</c:v>
                </c:pt>
                <c:pt idx="118">
                  <c:v>5.2390057361376668E-2</c:v>
                </c:pt>
                <c:pt idx="119">
                  <c:v>5.1612903225806452E-2</c:v>
                </c:pt>
                <c:pt idx="120">
                  <c:v>5.0847457627118647E-2</c:v>
                </c:pt>
                <c:pt idx="121">
                  <c:v>5.0093457943925231E-2</c:v>
                </c:pt>
                <c:pt idx="122">
                  <c:v>4.9350649350649353E-2</c:v>
                </c:pt>
                <c:pt idx="123">
                  <c:v>4.8618784530386747E-2</c:v>
                </c:pt>
                <c:pt idx="124">
                  <c:v>4.7897623400365616E-2</c:v>
                </c:pt>
                <c:pt idx="125">
                  <c:v>4.7186932849364781E-2</c:v>
                </c:pt>
                <c:pt idx="126">
                  <c:v>4.6486486486486484E-2</c:v>
                </c:pt>
                <c:pt idx="127">
                  <c:v>4.5796064400715562E-2</c:v>
                </c:pt>
                <c:pt idx="128">
                  <c:v>4.5115452930728238E-2</c:v>
                </c:pt>
                <c:pt idx="129">
                  <c:v>4.4444444444444446E-2</c:v>
                </c:pt>
                <c:pt idx="130">
                  <c:v>4.3782837127845885E-2</c:v>
                </c:pt>
                <c:pt idx="131">
                  <c:v>4.3130434782608695E-2</c:v>
                </c:pt>
                <c:pt idx="132">
                  <c:v>4.248704663212436E-2</c:v>
                </c:pt>
                <c:pt idx="133">
                  <c:v>4.185248713550601E-2</c:v>
                </c:pt>
                <c:pt idx="134">
                  <c:v>4.122657580919932E-2</c:v>
                </c:pt>
                <c:pt idx="135">
                  <c:v>4.060913705583756E-2</c:v>
                </c:pt>
                <c:pt idx="136">
                  <c:v>0.04</c:v>
                </c:pt>
                <c:pt idx="137">
                  <c:v>3.9398998330550918E-2</c:v>
                </c:pt>
                <c:pt idx="138">
                  <c:v>3.8805970149253723E-2</c:v>
                </c:pt>
                <c:pt idx="139">
                  <c:v>3.8220757825370669E-2</c:v>
                </c:pt>
                <c:pt idx="140">
                  <c:v>3.7643207855973811E-2</c:v>
                </c:pt>
                <c:pt idx="141">
                  <c:v>3.7073170731707315E-2</c:v>
                </c:pt>
                <c:pt idx="142">
                  <c:v>3.6510500807754434E-2</c:v>
                </c:pt>
                <c:pt idx="143">
                  <c:v>3.5955056179775277E-2</c:v>
                </c:pt>
                <c:pt idx="144">
                  <c:v>3.5406698564593303E-2</c:v>
                </c:pt>
                <c:pt idx="145">
                  <c:v>3.486529318541997E-2</c:v>
                </c:pt>
                <c:pt idx="146">
                  <c:v>3.4330708661417325E-2</c:v>
                </c:pt>
                <c:pt idx="147">
                  <c:v>3.3802816901408454E-2</c:v>
                </c:pt>
                <c:pt idx="148">
                  <c:v>3.328149300155521E-2</c:v>
                </c:pt>
                <c:pt idx="149">
                  <c:v>3.2766615146831532E-2</c:v>
                </c:pt>
                <c:pt idx="150">
                  <c:v>3.2258064516129031E-2</c:v>
                </c:pt>
                <c:pt idx="151">
                  <c:v>3.1755725190839697E-2</c:v>
                </c:pt>
                <c:pt idx="152">
                  <c:v>3.1259484066767831E-2</c:v>
                </c:pt>
                <c:pt idx="153">
                  <c:v>3.0769230769230774E-2</c:v>
                </c:pt>
                <c:pt idx="154">
                  <c:v>3.028485757121439E-2</c:v>
                </c:pt>
                <c:pt idx="155">
                  <c:v>2.9806259314456032E-2</c:v>
                </c:pt>
                <c:pt idx="156">
                  <c:v>2.9333333333333329E-2</c:v>
                </c:pt>
                <c:pt idx="157">
                  <c:v>2.88659793814433E-2</c:v>
                </c:pt>
                <c:pt idx="158">
                  <c:v>2.8404099560761346E-2</c:v>
                </c:pt>
                <c:pt idx="159">
                  <c:v>2.794759825327511E-2</c:v>
                </c:pt>
                <c:pt idx="160">
                  <c:v>2.7496382054992764E-2</c:v>
                </c:pt>
                <c:pt idx="161">
                  <c:v>2.7050359712230215E-2</c:v>
                </c:pt>
                <c:pt idx="162">
                  <c:v>2.6609442060085836E-2</c:v>
                </c:pt>
                <c:pt idx="163">
                  <c:v>2.6173541963015648E-2</c:v>
                </c:pt>
                <c:pt idx="164">
                  <c:v>2.5742574257425745E-2</c:v>
                </c:pt>
                <c:pt idx="165">
                  <c:v>2.5316455696202538E-2</c:v>
                </c:pt>
                <c:pt idx="166">
                  <c:v>2.4895104895104894E-2</c:v>
                </c:pt>
                <c:pt idx="167">
                  <c:v>2.4478442280945756E-2</c:v>
                </c:pt>
                <c:pt idx="168">
                  <c:v>2.4066390041493774E-2</c:v>
                </c:pt>
                <c:pt idx="169">
                  <c:v>2.3658872077028888E-2</c:v>
                </c:pt>
                <c:pt idx="170">
                  <c:v>2.3255813953488368E-2</c:v>
                </c:pt>
                <c:pt idx="171">
                  <c:v>2.2857142857142857E-2</c:v>
                </c:pt>
                <c:pt idx="172">
                  <c:v>2.246278755074425E-2</c:v>
                </c:pt>
                <c:pt idx="173">
                  <c:v>2.2072678331090174E-2</c:v>
                </c:pt>
                <c:pt idx="174">
                  <c:v>2.1686746987951804E-2</c:v>
                </c:pt>
                <c:pt idx="175">
                  <c:v>2.1304926764314246E-2</c:v>
                </c:pt>
                <c:pt idx="176">
                  <c:v>2.0927152317880796E-2</c:v>
                </c:pt>
                <c:pt idx="177">
                  <c:v>2.0553359683794469E-2</c:v>
                </c:pt>
                <c:pt idx="178">
                  <c:v>2.0183486238532111E-2</c:v>
                </c:pt>
                <c:pt idx="179">
                  <c:v>1.9817470664928293E-2</c:v>
                </c:pt>
                <c:pt idx="180">
                  <c:v>1.9455252918287941E-2</c:v>
                </c:pt>
                <c:pt idx="181">
                  <c:v>1.909677419354839E-2</c:v>
                </c:pt>
                <c:pt idx="182">
                  <c:v>1.8741976893453142E-2</c:v>
                </c:pt>
                <c:pt idx="183">
                  <c:v>1.8390804597701149E-2</c:v>
                </c:pt>
                <c:pt idx="184">
                  <c:v>1.8043202033036849E-2</c:v>
                </c:pt>
                <c:pt idx="185">
                  <c:v>1.7699115044247791E-2</c:v>
                </c:pt>
                <c:pt idx="186">
                  <c:v>1.7358490566037731E-2</c:v>
                </c:pt>
                <c:pt idx="187">
                  <c:v>1.7021276595744681E-2</c:v>
                </c:pt>
                <c:pt idx="188">
                  <c:v>1.668742216687422E-2</c:v>
                </c:pt>
                <c:pt idx="189">
                  <c:v>1.6356877323420074E-2</c:v>
                </c:pt>
                <c:pt idx="190">
                  <c:v>1.6029593094944512E-2</c:v>
                </c:pt>
                <c:pt idx="191">
                  <c:v>1.5705521472392639E-2</c:v>
                </c:pt>
                <c:pt idx="192">
                  <c:v>1.5384615384615385E-2</c:v>
                </c:pt>
                <c:pt idx="193">
                  <c:v>1.5066828675577158E-2</c:v>
                </c:pt>
                <c:pt idx="194">
                  <c:v>1.4752116082224912E-2</c:v>
                </c:pt>
                <c:pt idx="195">
                  <c:v>1.444043321299639E-2</c:v>
                </c:pt>
                <c:pt idx="196">
                  <c:v>1.4131736526946109E-2</c:v>
                </c:pt>
                <c:pt idx="197">
                  <c:v>1.3825983313468414E-2</c:v>
                </c:pt>
                <c:pt idx="198">
                  <c:v>1.3523131672597864E-2</c:v>
                </c:pt>
                <c:pt idx="199">
                  <c:v>1.3223140495867768E-2</c:v>
                </c:pt>
                <c:pt idx="200">
                  <c:v>1.2925969447708579E-2</c:v>
                </c:pt>
                <c:pt idx="201">
                  <c:v>1.2631578947368423E-2</c:v>
                </c:pt>
                <c:pt idx="202">
                  <c:v>1.2339930151338767E-2</c:v>
                </c:pt>
                <c:pt idx="203">
                  <c:v>1.2050984936268829E-2</c:v>
                </c:pt>
                <c:pt idx="204">
                  <c:v>1.1764705882352943E-2</c:v>
                </c:pt>
                <c:pt idx="205">
                  <c:v>1.1481056257175659E-2</c:v>
                </c:pt>
                <c:pt idx="206">
                  <c:v>1.12E-2</c:v>
                </c:pt>
                <c:pt idx="207">
                  <c:v>1.0921501706484642E-2</c:v>
                </c:pt>
                <c:pt idx="208">
                  <c:v>1.0645526613816535E-2</c:v>
                </c:pt>
                <c:pt idx="209">
                  <c:v>1.0372040586245771E-2</c:v>
                </c:pt>
                <c:pt idx="210">
                  <c:v>1.0101010101010104E-2</c:v>
                </c:pt>
                <c:pt idx="211">
                  <c:v>9.8324022346368712E-3</c:v>
                </c:pt>
                <c:pt idx="212">
                  <c:v>9.5661846496106796E-3</c:v>
                </c:pt>
                <c:pt idx="213">
                  <c:v>9.3023255813953487E-3</c:v>
                </c:pt>
                <c:pt idx="214">
                  <c:v>9.0407938257993387E-3</c:v>
                </c:pt>
                <c:pt idx="215">
                  <c:v>8.7815587266739832E-3</c:v>
                </c:pt>
                <c:pt idx="216">
                  <c:v>8.5245901639344271E-3</c:v>
                </c:pt>
                <c:pt idx="217">
                  <c:v>8.2698585418933615E-3</c:v>
                </c:pt>
                <c:pt idx="218">
                  <c:v>8.0173347778981583E-3</c:v>
                </c:pt>
                <c:pt idx="219">
                  <c:v>7.7669902912621356E-3</c:v>
                </c:pt>
                <c:pt idx="220">
                  <c:v>7.5187969924812035E-3</c:v>
                </c:pt>
                <c:pt idx="221">
                  <c:v>7.2727272727272727E-3</c:v>
                </c:pt>
                <c:pt idx="222">
                  <c:v>7.028753993610224E-3</c:v>
                </c:pt>
                <c:pt idx="223">
                  <c:v>6.7868504772004247E-3</c:v>
                </c:pt>
                <c:pt idx="224">
                  <c:v>6.5469904963041184E-3</c:v>
                </c:pt>
                <c:pt idx="225">
                  <c:v>6.3091482649842269E-3</c:v>
                </c:pt>
                <c:pt idx="226">
                  <c:v>6.0732984293193721E-3</c:v>
                </c:pt>
                <c:pt idx="227">
                  <c:v>5.8394160583941611E-3</c:v>
                </c:pt>
                <c:pt idx="228">
                  <c:v>5.6074766355140191E-3</c:v>
                </c:pt>
                <c:pt idx="229">
                  <c:v>5.3774560496380559E-3</c:v>
                </c:pt>
                <c:pt idx="230">
                  <c:v>5.1493305870236863E-3</c:v>
                </c:pt>
                <c:pt idx="231">
                  <c:v>4.9230769230769232E-3</c:v>
                </c:pt>
                <c:pt idx="232">
                  <c:v>4.6986721144024511E-3</c:v>
                </c:pt>
                <c:pt idx="233">
                  <c:v>4.4760935910478127E-3</c:v>
                </c:pt>
                <c:pt idx="234">
                  <c:v>4.2553191489361703E-3</c:v>
                </c:pt>
                <c:pt idx="235">
                  <c:v>4.0363269424823402E-3</c:v>
                </c:pt>
                <c:pt idx="236">
                  <c:v>3.8190954773869345E-3</c:v>
                </c:pt>
                <c:pt idx="237">
                  <c:v>3.6036036036036037E-3</c:v>
                </c:pt>
                <c:pt idx="238">
                  <c:v>3.3898305084745762E-3</c:v>
                </c:pt>
                <c:pt idx="239">
                  <c:v>3.1777557100297915E-3</c:v>
                </c:pt>
                <c:pt idx="240">
                  <c:v>2.9673590504451035E-3</c:v>
                </c:pt>
                <c:pt idx="241">
                  <c:v>2.7586206896551722E-3</c:v>
                </c:pt>
                <c:pt idx="242">
                  <c:v>2.5515210991167814E-3</c:v>
                </c:pt>
                <c:pt idx="243">
                  <c:v>2.3460410557184755E-3</c:v>
                </c:pt>
                <c:pt idx="244">
                  <c:v>2.1421616358325217E-3</c:v>
                </c:pt>
                <c:pt idx="245">
                  <c:v>1.9398642095053346E-3</c:v>
                </c:pt>
                <c:pt idx="246">
                  <c:v>1.7391304347826088E-3</c:v>
                </c:pt>
                <c:pt idx="247">
                  <c:v>1.539942252165544E-3</c:v>
                </c:pt>
                <c:pt idx="248">
                  <c:v>1.3422818791946308E-3</c:v>
                </c:pt>
                <c:pt idx="249">
                  <c:v>1.146131805157593E-3</c:v>
                </c:pt>
                <c:pt idx="250">
                  <c:v>9.514747859181731E-4</c:v>
                </c:pt>
                <c:pt idx="251">
                  <c:v>7.5829383886255922E-4</c:v>
                </c:pt>
                <c:pt idx="252">
                  <c:v>5.6657223796033991E-4</c:v>
                </c:pt>
                <c:pt idx="253">
                  <c:v>3.7629350893697084E-4</c:v>
                </c:pt>
                <c:pt idx="254">
                  <c:v>1.8744142455482662E-4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5-4F1E-B7B4-6EB4D16AF865}"/>
            </c:ext>
          </c:extLst>
        </c:ser>
        <c:ser>
          <c:idx val="3"/>
          <c:order val="2"/>
          <c:tx>
            <c:v>1/t + MinDyn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Tabelle1!$D$4:$D$259</c:f>
              <c:numCache>
                <c:formatCode>General</c:formatCode>
                <c:ptCount val="256"/>
                <c:pt idx="0">
                  <c:v>0.99999999999999922</c:v>
                </c:pt>
                <c:pt idx="1">
                  <c:v>0.92964924838940544</c:v>
                </c:pt>
                <c:pt idx="2">
                  <c:v>0.86883758174295989</c:v>
                </c:pt>
                <c:pt idx="3">
                  <c:v>0.81574803149606301</c:v>
                </c:pt>
                <c:pt idx="4">
                  <c:v>0.76899753202491372</c:v>
                </c:pt>
                <c:pt idx="5">
                  <c:v>0.72751469446600792</c:v>
                </c:pt>
                <c:pt idx="6">
                  <c:v>0.69045669291338518</c:v>
                </c:pt>
                <c:pt idx="7">
                  <c:v>0.65715140037874975</c:v>
                </c:pt>
                <c:pt idx="8">
                  <c:v>0.62705625652215136</c:v>
                </c:pt>
                <c:pt idx="9">
                  <c:v>0.59972848221558506</c:v>
                </c:pt>
                <c:pt idx="10">
                  <c:v>0.57480314960629919</c:v>
                </c:pt>
                <c:pt idx="11">
                  <c:v>0.55197679237463748</c:v>
                </c:pt>
                <c:pt idx="12">
                  <c:v>0.53099498926270539</c:v>
                </c:pt>
                <c:pt idx="13">
                  <c:v>0.51164284076140931</c:v>
                </c:pt>
                <c:pt idx="14">
                  <c:v>0.49373758186768679</c:v>
                </c:pt>
                <c:pt idx="15">
                  <c:v>0.47712279208342179</c:v>
                </c:pt>
                <c:pt idx="16">
                  <c:v>0.46166381376241006</c:v>
                </c:pt>
                <c:pt idx="17">
                  <c:v>0.44724409448818891</c:v>
                </c:pt>
                <c:pt idx="18">
                  <c:v>0.43376224313424239</c:v>
                </c:pt>
                <c:pt idx="19">
                  <c:v>0.42112964225928462</c:v>
                </c:pt>
                <c:pt idx="20">
                  <c:v>0.40926849792630859</c:v>
                </c:pt>
                <c:pt idx="21">
                  <c:v>0.39811023622047226</c:v>
                </c:pt>
                <c:pt idx="22">
                  <c:v>0.38759417662720197</c:v>
                </c:pt>
                <c:pt idx="23">
                  <c:v>0.37766642806012873</c:v>
                </c:pt>
                <c:pt idx="24">
                  <c:v>0.36827896512935876</c:v>
                </c:pt>
                <c:pt idx="25">
                  <c:v>0.35938885122803355</c:v>
                </c:pt>
                <c:pt idx="26">
                  <c:v>0.3509575819151638</c:v>
                </c:pt>
                <c:pt idx="27">
                  <c:v>0.34295052741048881</c:v>
                </c:pt>
                <c:pt idx="28">
                  <c:v>0.33533645717598171</c:v>
                </c:pt>
                <c:pt idx="29">
                  <c:v>0.32808713282097207</c:v>
                </c:pt>
                <c:pt idx="30">
                  <c:v>0.32117695814338992</c:v>
                </c:pt>
                <c:pt idx="31">
                  <c:v>0.31458267716535426</c:v>
                </c:pt>
                <c:pt idx="32">
                  <c:v>0.30828311265561076</c:v>
                </c:pt>
                <c:pt idx="33">
                  <c:v>0.30225893894410738</c:v>
                </c:pt>
                <c:pt idx="34">
                  <c:v>0.29649248389405869</c:v>
                </c:pt>
                <c:pt idx="35">
                  <c:v>0.29096755575710109</c:v>
                </c:pt>
                <c:pt idx="36">
                  <c:v>0.28566929133858254</c:v>
                </c:pt>
                <c:pt idx="37">
                  <c:v>0.28058402247457753</c:v>
                </c:pt>
                <c:pt idx="38">
                  <c:v>0.27569915829486824</c:v>
                </c:pt>
                <c:pt idx="39">
                  <c:v>0.27100308113659699</c:v>
                </c:pt>
                <c:pt idx="40">
                  <c:v>0.26648505429712277</c:v>
                </c:pt>
                <c:pt idx="41">
                  <c:v>0.26213514008423366</c:v>
                </c:pt>
                <c:pt idx="42">
                  <c:v>0.25794412684715784</c:v>
                </c:pt>
                <c:pt idx="43">
                  <c:v>0.25390346386073936</c:v>
                </c:pt>
                <c:pt idx="44">
                  <c:v>0.25000520309410657</c:v>
                </c:pt>
                <c:pt idx="45">
                  <c:v>0.24624194702934854</c:v>
                </c:pt>
                <c:pt idx="46">
                  <c:v>0.24260680180934827</c:v>
                </c:pt>
                <c:pt idx="47">
                  <c:v>0.23909333509043584</c:v>
                </c:pt>
                <c:pt idx="48">
                  <c:v>0.23569553805774277</c:v>
                </c:pt>
                <c:pt idx="49">
                  <c:v>0.23240779113137175</c:v>
                </c:pt>
                <c:pt idx="50">
                  <c:v>0.22922483295165794</c:v>
                </c:pt>
                <c:pt idx="51">
                  <c:v>0.2261417322834646</c:v>
                </c:pt>
                <c:pt idx="52">
                  <c:v>0.2231538625239412</c:v>
                </c:pt>
                <c:pt idx="53">
                  <c:v>0.22025687853657072</c:v>
                </c:pt>
                <c:pt idx="54">
                  <c:v>0.21744669556754842</c:v>
                </c:pt>
                <c:pt idx="55">
                  <c:v>0.21471947002934594</c:v>
                </c:pt>
                <c:pt idx="56">
                  <c:v>0.21207158196134576</c:v>
                </c:pt>
                <c:pt idx="57">
                  <c:v>0.209499618999238</c:v>
                </c:pt>
                <c:pt idx="58">
                  <c:v>0.20700036170390362</c:v>
                </c:pt>
                <c:pt idx="59">
                  <c:v>0.20457077011715</c:v>
                </c:pt>
                <c:pt idx="60">
                  <c:v>0.2022079714262521</c:v>
                </c:pt>
                <c:pt idx="61">
                  <c:v>0.19990924863205656</c:v>
                </c:pt>
                <c:pt idx="62">
                  <c:v>0.1976720301266689</c:v>
                </c:pt>
                <c:pt idx="63">
                  <c:v>0.19549388009667107</c:v>
                </c:pt>
                <c:pt idx="64">
                  <c:v>0.19337248967657544</c:v>
                </c:pt>
                <c:pt idx="65">
                  <c:v>0.19130566878497102</c:v>
                </c:pt>
                <c:pt idx="66">
                  <c:v>0.18929133858267716</c:v>
                </c:pt>
                <c:pt idx="67">
                  <c:v>0.18732752449830919</c:v>
                </c:pt>
                <c:pt idx="68">
                  <c:v>0.18541234977206794</c:v>
                </c:pt>
                <c:pt idx="69">
                  <c:v>0.18354402947338</c:v>
                </c:pt>
                <c:pt idx="70">
                  <c:v>0.18172086495230391</c:v>
                </c:pt>
                <c:pt idx="71">
                  <c:v>0.17994123868844752</c:v>
                </c:pt>
                <c:pt idx="72">
                  <c:v>0.17820360950456413</c:v>
                </c:pt>
                <c:pt idx="73">
                  <c:v>0.17650650811505703</c:v>
                </c:pt>
                <c:pt idx="74">
                  <c:v>0.17484853298236858</c:v>
                </c:pt>
                <c:pt idx="75">
                  <c:v>0.17322834645669294</c:v>
                </c:pt>
                <c:pt idx="76">
                  <c:v>0.17164467117666626</c:v>
                </c:pt>
                <c:pt idx="77">
                  <c:v>0.17009628671067928</c:v>
                </c:pt>
                <c:pt idx="78">
                  <c:v>0.16858202642025116</c:v>
                </c:pt>
                <c:pt idx="79">
                  <c:v>0.16710077452852451</c:v>
                </c:pt>
                <c:pt idx="80">
                  <c:v>0.16565146337839845</c:v>
                </c:pt>
                <c:pt idx="81">
                  <c:v>0.16423307086614172</c:v>
                </c:pt>
                <c:pt idx="82">
                  <c:v>0.16284461803752104</c:v>
                </c:pt>
                <c:pt idx="83">
                  <c:v>0.16148516683456343</c:v>
                </c:pt>
                <c:pt idx="84">
                  <c:v>0.16015381798205455</c:v>
                </c:pt>
                <c:pt idx="85">
                  <c:v>0.15884970900376583</c:v>
                </c:pt>
                <c:pt idx="86">
                  <c:v>0.15757201235921459</c:v>
                </c:pt>
                <c:pt idx="87">
                  <c:v>0.15631993369249897</c:v>
                </c:pt>
                <c:pt idx="88">
                  <c:v>0.15509271018542037</c:v>
                </c:pt>
                <c:pt idx="89">
                  <c:v>0.15388960900771925</c:v>
                </c:pt>
                <c:pt idx="90">
                  <c:v>0.1527099258578079</c:v>
                </c:pt>
                <c:pt idx="91">
                  <c:v>0.1515529835878949</c:v>
                </c:pt>
                <c:pt idx="92">
                  <c:v>0.15041813090786083</c:v>
                </c:pt>
                <c:pt idx="93">
                  <c:v>0.14930474116267378</c:v>
                </c:pt>
                <c:pt idx="94">
                  <c:v>0.14821221117852071</c:v>
                </c:pt>
                <c:pt idx="95">
                  <c:v>0.14713996017319181</c:v>
                </c:pt>
                <c:pt idx="96">
                  <c:v>0.14608742872658159</c:v>
                </c:pt>
                <c:pt idx="97">
                  <c:v>0.14505407780747226</c:v>
                </c:pt>
                <c:pt idx="98">
                  <c:v>0.1440393878530421</c:v>
                </c:pt>
                <c:pt idx="99">
                  <c:v>0.14304285789779636</c:v>
                </c:pt>
                <c:pt idx="100">
                  <c:v>0.14206400474885206</c:v>
                </c:pt>
                <c:pt idx="101">
                  <c:v>0.14110236220472439</c:v>
                </c:pt>
                <c:pt idx="102">
                  <c:v>0.14015748031496061</c:v>
                </c:pt>
                <c:pt idx="103">
                  <c:v>0.13922892467815173</c:v>
                </c:pt>
                <c:pt idx="104">
                  <c:v>0.13831627577602051</c:v>
                </c:pt>
                <c:pt idx="105">
                  <c:v>0.1374191283414414</c:v>
                </c:pt>
                <c:pt idx="106">
                  <c:v>0.13653709075839204</c:v>
                </c:pt>
                <c:pt idx="107">
                  <c:v>0.13566978449196981</c:v>
                </c:pt>
                <c:pt idx="108">
                  <c:v>0.13481684354673057</c:v>
                </c:pt>
                <c:pt idx="109">
                  <c:v>0.13397791395172112</c:v>
                </c:pt>
                <c:pt idx="110">
                  <c:v>0.13315265327068332</c:v>
                </c:pt>
                <c:pt idx="111">
                  <c:v>0.13234073013600572</c:v>
                </c:pt>
                <c:pt idx="112">
                  <c:v>0.1315418238050905</c:v>
                </c:pt>
                <c:pt idx="113">
                  <c:v>0.13075562373788763</c:v>
                </c:pt>
                <c:pt idx="114">
                  <c:v>0.12998182919442763</c:v>
                </c:pt>
                <c:pt idx="115">
                  <c:v>0.1292201488512566</c:v>
                </c:pt>
                <c:pt idx="116">
                  <c:v>0.12847030043574648</c:v>
                </c:pt>
                <c:pt idx="117">
                  <c:v>0.12773201037731555</c:v>
                </c:pt>
                <c:pt idx="118">
                  <c:v>0.12700501347465409</c:v>
                </c:pt>
                <c:pt idx="119">
                  <c:v>0.12628905257810516</c:v>
                </c:pt>
                <c:pt idx="120">
                  <c:v>0.12558387828640064</c:v>
                </c:pt>
                <c:pt idx="121">
                  <c:v>0.12488924865700199</c:v>
                </c:pt>
                <c:pt idx="122">
                  <c:v>0.12420492892933838</c:v>
                </c:pt>
                <c:pt idx="123">
                  <c:v>0.12353069126027755</c:v>
                </c:pt>
                <c:pt idx="124">
                  <c:v>0.12286631447120297</c:v>
                </c:pt>
                <c:pt idx="125">
                  <c:v>0.12221158380610772</c:v>
                </c:pt>
                <c:pt idx="126">
                  <c:v>0.12156629070014896</c:v>
                </c:pt>
                <c:pt idx="127">
                  <c:v>0.12093023255813953</c:v>
                </c:pt>
                <c:pt idx="128">
                  <c:v>0.12030321254248191</c:v>
                </c:pt>
                <c:pt idx="129">
                  <c:v>0.11968503937007874</c:v>
                </c:pt>
                <c:pt idx="130">
                  <c:v>0.11907552711777927</c:v>
                </c:pt>
                <c:pt idx="131">
                  <c:v>0.11847449503594659</c:v>
                </c:pt>
                <c:pt idx="132">
                  <c:v>0.11788176736975237</c:v>
                </c:pt>
                <c:pt idx="133">
                  <c:v>0.11729717318782837</c:v>
                </c:pt>
                <c:pt idx="134">
                  <c:v>0.11672054621792378</c:v>
                </c:pt>
                <c:pt idx="135">
                  <c:v>0.11615172468923618</c:v>
                </c:pt>
                <c:pt idx="136">
                  <c:v>0.11559055118110237</c:v>
                </c:pt>
                <c:pt idx="137">
                  <c:v>0.11503687247775163</c:v>
                </c:pt>
                <c:pt idx="138">
                  <c:v>0.11449053942884005</c:v>
                </c:pt>
                <c:pt idx="139">
                  <c:v>0.11395140681549897</c:v>
                </c:pt>
                <c:pt idx="140">
                  <c:v>0.11341933322164516</c:v>
                </c:pt>
                <c:pt idx="141">
                  <c:v>0.11289418091031303</c:v>
                </c:pt>
                <c:pt idx="142">
                  <c:v>0.11237581570478164</c:v>
                </c:pt>
                <c:pt idx="143">
                  <c:v>0.11186410687428117</c:v>
                </c:pt>
                <c:pt idx="144">
                  <c:v>0.11135892702407414</c:v>
                </c:pt>
                <c:pt idx="145">
                  <c:v>0.1108601519897176</c:v>
                </c:pt>
                <c:pt idx="146">
                  <c:v>0.11036766073532148</c:v>
                </c:pt>
                <c:pt idx="147">
                  <c:v>0.10988133525562827</c:v>
                </c:pt>
                <c:pt idx="148">
                  <c:v>0.10940106048174772</c:v>
                </c:pt>
                <c:pt idx="149">
                  <c:v>0.1089267241903881</c:v>
                </c:pt>
                <c:pt idx="150">
                  <c:v>0.10845821691643383</c:v>
                </c:pt>
                <c:pt idx="151">
                  <c:v>0.10799543186872633</c:v>
                </c:pt>
                <c:pt idx="152">
                  <c:v>0.1075382648489121</c:v>
                </c:pt>
                <c:pt idx="153">
                  <c:v>0.10708661417322834</c:v>
                </c:pt>
                <c:pt idx="154">
                  <c:v>0.10664038059710301</c:v>
                </c:pt>
                <c:pt idx="155">
                  <c:v>0.10619946724245162</c:v>
                </c:pt>
                <c:pt idx="156">
                  <c:v>0.10576377952755905</c:v>
                </c:pt>
                <c:pt idx="157">
                  <c:v>0.10533322509943989</c:v>
                </c:pt>
                <c:pt idx="158">
                  <c:v>0.10490771376857541</c:v>
                </c:pt>
                <c:pt idx="159">
                  <c:v>0.10448715744593061</c:v>
                </c:pt>
                <c:pt idx="160">
                  <c:v>0.1040714700821587</c:v>
                </c:pt>
                <c:pt idx="161">
                  <c:v>0.103660567608905</c:v>
                </c:pt>
                <c:pt idx="162">
                  <c:v>0.10325436788212632</c:v>
                </c:pt>
                <c:pt idx="163">
                  <c:v>0.10285279062734512</c:v>
                </c:pt>
                <c:pt idx="164">
                  <c:v>0.1024557573867623</c:v>
                </c:pt>
                <c:pt idx="165">
                  <c:v>0.1020631914681551</c:v>
                </c:pt>
                <c:pt idx="166">
                  <c:v>0.10167501789549033</c:v>
                </c:pt>
                <c:pt idx="167">
                  <c:v>0.10129116336118625</c:v>
                </c:pt>
                <c:pt idx="168">
                  <c:v>0.10091155617995884</c:v>
                </c:pt>
                <c:pt idx="169">
                  <c:v>0.10053612624419198</c:v>
                </c:pt>
                <c:pt idx="170">
                  <c:v>0.10016480498077275</c:v>
                </c:pt>
                <c:pt idx="171">
                  <c:v>9.9797525309336332E-2</c:v>
                </c:pt>
                <c:pt idx="172">
                  <c:v>9.9434221601866754E-2</c:v>
                </c:pt>
                <c:pt idx="173">
                  <c:v>9.9074829643602758E-2</c:v>
                </c:pt>
                <c:pt idx="174">
                  <c:v>9.8719286595199685E-2</c:v>
                </c:pt>
                <c:pt idx="175">
                  <c:v>9.8367530956100527E-2</c:v>
                </c:pt>
                <c:pt idx="176">
                  <c:v>9.8019502529071281E-2</c:v>
                </c:pt>
                <c:pt idx="177">
                  <c:v>9.7675142385857894E-2</c:v>
                </c:pt>
                <c:pt idx="178">
                  <c:v>9.7334392833923283E-2</c:v>
                </c:pt>
                <c:pt idx="179">
                  <c:v>9.699719738422527E-2</c:v>
                </c:pt>
                <c:pt idx="180">
                  <c:v>9.6663500719997547E-2</c:v>
                </c:pt>
                <c:pt idx="181">
                  <c:v>9.633324866649734E-2</c:v>
                </c:pt>
                <c:pt idx="182">
                  <c:v>9.6006388161685177E-2</c:v>
                </c:pt>
                <c:pt idx="183">
                  <c:v>9.568286722780342E-2</c:v>
                </c:pt>
                <c:pt idx="184">
                  <c:v>9.5362634943821356E-2</c:v>
                </c:pt>
                <c:pt idx="185">
                  <c:v>9.5045641418716464E-2</c:v>
                </c:pt>
                <c:pt idx="186">
                  <c:v>9.4731837765562321E-2</c:v>
                </c:pt>
                <c:pt idx="187">
                  <c:v>9.4421176076394706E-2</c:v>
                </c:pt>
                <c:pt idx="188">
                  <c:v>9.4113609397829007E-2</c:v>
                </c:pt>
                <c:pt idx="189">
                  <c:v>9.3809091707402745E-2</c:v>
                </c:pt>
                <c:pt idx="190">
                  <c:v>9.3507577890618171E-2</c:v>
                </c:pt>
                <c:pt idx="191">
                  <c:v>9.3209023718660938E-2</c:v>
                </c:pt>
                <c:pt idx="192">
                  <c:v>9.2913385826771652E-2</c:v>
                </c:pt>
                <c:pt idx="193">
                  <c:v>9.2620621693248251E-2</c:v>
                </c:pt>
                <c:pt idx="194">
                  <c:v>9.233068961905759E-2</c:v>
                </c:pt>
                <c:pt idx="195">
                  <c:v>9.2043548708036049E-2</c:v>
                </c:pt>
                <c:pt idx="196">
                  <c:v>9.1759158847659006E-2</c:v>
                </c:pt>
                <c:pt idx="197">
                  <c:v>9.1477480690360657E-2</c:v>
                </c:pt>
                <c:pt idx="198">
                  <c:v>9.119847563538544E-2</c:v>
                </c:pt>
                <c:pt idx="199">
                  <c:v>9.0922105811153772E-2</c:v>
                </c:pt>
                <c:pt idx="200">
                  <c:v>9.0648334058125224E-2</c:v>
                </c:pt>
                <c:pt idx="201">
                  <c:v>9.037712391214256E-2</c:v>
                </c:pt>
                <c:pt idx="202">
                  <c:v>9.0108439588241218E-2</c:v>
                </c:pt>
                <c:pt idx="203">
                  <c:v>8.9842245964909084E-2</c:v>
                </c:pt>
                <c:pt idx="204">
                  <c:v>8.9578508568781842E-2</c:v>
                </c:pt>
                <c:pt idx="205">
                  <c:v>8.9317193559760255E-2</c:v>
                </c:pt>
                <c:pt idx="206">
                  <c:v>8.9058267716535439E-2</c:v>
                </c:pt>
                <c:pt idx="207">
                  <c:v>8.880169842250947E-2</c:v>
                </c:pt>
                <c:pt idx="208">
                  <c:v>8.8547453652098693E-2</c:v>
                </c:pt>
                <c:pt idx="209">
                  <c:v>8.8295501957407527E-2</c:v>
                </c:pt>
                <c:pt idx="210">
                  <c:v>8.8045812455261274E-2</c:v>
                </c:pt>
                <c:pt idx="211">
                  <c:v>8.7798354814586727E-2</c:v>
                </c:pt>
                <c:pt idx="212">
                  <c:v>8.7553099244129517E-2</c:v>
                </c:pt>
                <c:pt idx="213">
                  <c:v>8.7310016480498076E-2</c:v>
                </c:pt>
                <c:pt idx="214">
                  <c:v>8.7069077776523798E-2</c:v>
                </c:pt>
                <c:pt idx="215">
                  <c:v>8.6830254889928002E-2</c:v>
                </c:pt>
                <c:pt idx="216">
                  <c:v>8.6593520072286045E-2</c:v>
                </c:pt>
                <c:pt idx="217">
                  <c:v>8.6358846058279704E-2</c:v>
                </c:pt>
                <c:pt idx="218">
                  <c:v>8.6126206055229013E-2</c:v>
                </c:pt>
                <c:pt idx="219">
                  <c:v>8.5895573732895039E-2</c:v>
                </c:pt>
                <c:pt idx="220">
                  <c:v>8.5666923213545673E-2</c:v>
                </c:pt>
                <c:pt idx="221">
                  <c:v>8.5440229062276302E-2</c:v>
                </c:pt>
                <c:pt idx="222">
                  <c:v>8.5215466277577923E-2</c:v>
                </c:pt>
                <c:pt idx="223">
                  <c:v>8.4992610282145276E-2</c:v>
                </c:pt>
                <c:pt idx="224">
                  <c:v>8.4771636913917967E-2</c:v>
                </c:pt>
                <c:pt idx="225">
                  <c:v>8.4552522417347675E-2</c:v>
                </c:pt>
                <c:pt idx="226">
                  <c:v>8.4335243434884771E-2</c:v>
                </c:pt>
                <c:pt idx="227">
                  <c:v>8.4119776998678078E-2</c:v>
                </c:pt>
                <c:pt idx="228">
                  <c:v>8.3906100522481417E-2</c:v>
                </c:pt>
                <c:pt idx="229">
                  <c:v>8.3694191793761044E-2</c:v>
                </c:pt>
                <c:pt idx="230">
                  <c:v>8.34840289659982E-2</c:v>
                </c:pt>
                <c:pt idx="231">
                  <c:v>8.3275590551181097E-2</c:v>
                </c:pt>
                <c:pt idx="232">
                  <c:v>8.3068855412480991E-2</c:v>
                </c:pt>
                <c:pt idx="233">
                  <c:v>8.2863802757107044E-2</c:v>
                </c:pt>
                <c:pt idx="234">
                  <c:v>8.2660412129334893E-2</c:v>
                </c:pt>
                <c:pt idx="235">
                  <c:v>8.2458663403704197E-2</c:v>
                </c:pt>
                <c:pt idx="236">
                  <c:v>8.225853677838009E-2</c:v>
                </c:pt>
                <c:pt idx="237">
                  <c:v>8.2060012768674181E-2</c:v>
                </c:pt>
                <c:pt idx="238">
                  <c:v>8.1863072200720671E-2</c:v>
                </c:pt>
                <c:pt idx="239">
                  <c:v>8.1667696205303036E-2</c:v>
                </c:pt>
                <c:pt idx="240">
                  <c:v>8.1473866211827381E-2</c:v>
                </c:pt>
                <c:pt idx="241">
                  <c:v>8.1281563942438226E-2</c:v>
                </c:pt>
                <c:pt idx="242">
                  <c:v>8.1090771406272938E-2</c:v>
                </c:pt>
                <c:pt idx="243">
                  <c:v>8.0901470893850871E-2</c:v>
                </c:pt>
                <c:pt idx="244">
                  <c:v>8.0713644971593737E-2</c:v>
                </c:pt>
                <c:pt idx="245">
                  <c:v>8.0527276476473411E-2</c:v>
                </c:pt>
                <c:pt idx="246">
                  <c:v>8.0342348510783979E-2</c:v>
                </c:pt>
                <c:pt idx="247">
                  <c:v>8.0158844437034402E-2</c:v>
                </c:pt>
                <c:pt idx="248">
                  <c:v>7.9976747872958831E-2</c:v>
                </c:pt>
                <c:pt idx="249">
                  <c:v>7.9796042686641241E-2</c:v>
                </c:pt>
                <c:pt idx="250">
                  <c:v>7.9616712991751382E-2</c:v>
                </c:pt>
                <c:pt idx="251">
                  <c:v>7.9438743142889123E-2</c:v>
                </c:pt>
                <c:pt idx="252">
                  <c:v>7.9262117731034323E-2</c:v>
                </c:pt>
                <c:pt idx="253">
                  <c:v>7.9086821579099409E-2</c:v>
                </c:pt>
                <c:pt idx="254">
                  <c:v>7.8912839737582008E-2</c:v>
                </c:pt>
                <c:pt idx="255">
                  <c:v>7.874015748031496E-2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55-4F1E-B7B4-6EB4D16AF865}"/>
            </c:ext>
          </c:extLst>
        </c:ser>
        <c:ser>
          <c:idx val="0"/>
          <c:order val="3"/>
          <c:tx>
            <c:v>Old ScanDriver</c:v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Tabelle1!$E$4:$E$259</c:f>
              <c:numCache>
                <c:formatCode>General</c:formatCode>
                <c:ptCount val="256"/>
                <c:pt idx="0">
                  <c:v>1</c:v>
                </c:pt>
                <c:pt idx="1">
                  <c:v>0.97</c:v>
                </c:pt>
                <c:pt idx="2">
                  <c:v>0.94089999999999996</c:v>
                </c:pt>
                <c:pt idx="3">
                  <c:v>0.91267299999999996</c:v>
                </c:pt>
                <c:pt idx="4">
                  <c:v>0.88529280999999993</c:v>
                </c:pt>
                <c:pt idx="5">
                  <c:v>0.8587340256999999</c:v>
                </c:pt>
                <c:pt idx="6">
                  <c:v>0.83297200492899992</c:v>
                </c:pt>
                <c:pt idx="7">
                  <c:v>0.80798284478112992</c:v>
                </c:pt>
                <c:pt idx="8">
                  <c:v>0.78374335943769602</c:v>
                </c:pt>
                <c:pt idx="9">
                  <c:v>0.76023105865456508</c:v>
                </c:pt>
                <c:pt idx="10">
                  <c:v>0.73742412689492809</c:v>
                </c:pt>
                <c:pt idx="11">
                  <c:v>0.71530140308808021</c:v>
                </c:pt>
                <c:pt idx="12">
                  <c:v>0.69384236099543783</c:v>
                </c:pt>
                <c:pt idx="13">
                  <c:v>0.67302709016557472</c:v>
                </c:pt>
                <c:pt idx="14">
                  <c:v>0.65283627746060746</c:v>
                </c:pt>
                <c:pt idx="15">
                  <c:v>0.63325118913678924</c:v>
                </c:pt>
                <c:pt idx="16">
                  <c:v>0.61425365346268557</c:v>
                </c:pt>
                <c:pt idx="17">
                  <c:v>0.595826043858805</c:v>
                </c:pt>
                <c:pt idx="18">
                  <c:v>0.57795126254304086</c:v>
                </c:pt>
                <c:pt idx="19">
                  <c:v>0.56061272466674961</c:v>
                </c:pt>
                <c:pt idx="20">
                  <c:v>0.54379434292674711</c:v>
                </c:pt>
                <c:pt idx="21">
                  <c:v>0.52748051263894469</c:v>
                </c:pt>
                <c:pt idx="22">
                  <c:v>0.51165609725977634</c:v>
                </c:pt>
                <c:pt idx="23">
                  <c:v>0.49630641434198308</c:v>
                </c:pt>
                <c:pt idx="24">
                  <c:v>0.48141722191172359</c:v>
                </c:pt>
                <c:pt idx="25">
                  <c:v>0.4669747052543719</c:v>
                </c:pt>
                <c:pt idx="26">
                  <c:v>0.45296546409674077</c:v>
                </c:pt>
                <c:pt idx="27">
                  <c:v>0.43937650017383856</c:v>
                </c:pt>
                <c:pt idx="28">
                  <c:v>0.42619520516862341</c:v>
                </c:pt>
                <c:pt idx="29">
                  <c:v>0.41340934901356469</c:v>
                </c:pt>
                <c:pt idx="30">
                  <c:v>0.40100706854315776</c:v>
                </c:pt>
                <c:pt idx="31">
                  <c:v>0.38897685648686303</c:v>
                </c:pt>
                <c:pt idx="32">
                  <c:v>0.37730755079225714</c:v>
                </c:pt>
                <c:pt idx="33">
                  <c:v>0.36598832426848943</c:v>
                </c:pt>
                <c:pt idx="34">
                  <c:v>0.35500867454043472</c:v>
                </c:pt>
                <c:pt idx="35">
                  <c:v>0.3443584143042217</c:v>
                </c:pt>
                <c:pt idx="36">
                  <c:v>0.33402766187509503</c:v>
                </c:pt>
                <c:pt idx="37">
                  <c:v>0.32400683201884217</c:v>
                </c:pt>
                <c:pt idx="38">
                  <c:v>0.31428662705827692</c:v>
                </c:pt>
                <c:pt idx="39">
                  <c:v>0.30485802824652863</c:v>
                </c:pt>
                <c:pt idx="40">
                  <c:v>0.2957122873991328</c:v>
                </c:pt>
                <c:pt idx="41">
                  <c:v>0.28684091877715884</c:v>
                </c:pt>
                <c:pt idx="42">
                  <c:v>0.27823569121384406</c:v>
                </c:pt>
                <c:pt idx="43">
                  <c:v>0.26988862047742873</c:v>
                </c:pt>
                <c:pt idx="44">
                  <c:v>0.26179196186310588</c:v>
                </c:pt>
                <c:pt idx="45">
                  <c:v>0.2539382030072127</c:v>
                </c:pt>
                <c:pt idx="46">
                  <c:v>0.24632005691699632</c:v>
                </c:pt>
                <c:pt idx="47">
                  <c:v>0.23893045520948644</c:v>
                </c:pt>
                <c:pt idx="48">
                  <c:v>0.23176254155320186</c:v>
                </c:pt>
                <c:pt idx="49">
                  <c:v>0.22480966530660582</c:v>
                </c:pt>
                <c:pt idx="50">
                  <c:v>0.21806537534740764</c:v>
                </c:pt>
                <c:pt idx="51">
                  <c:v>0.21152341408698541</c:v>
                </c:pt>
                <c:pt idx="52">
                  <c:v>0.20517771166437584</c:v>
                </c:pt>
                <c:pt idx="53">
                  <c:v>0.19902238031444458</c:v>
                </c:pt>
                <c:pt idx="54">
                  <c:v>0.19305170890501125</c:v>
                </c:pt>
                <c:pt idx="55">
                  <c:v>0.18726015763786091</c:v>
                </c:pt>
                <c:pt idx="56">
                  <c:v>0.18164235290872507</c:v>
                </c:pt>
                <c:pt idx="57">
                  <c:v>0.17619308232146333</c:v>
                </c:pt>
                <c:pt idx="58">
                  <c:v>0.17090728985181944</c:v>
                </c:pt>
                <c:pt idx="59">
                  <c:v>0.16578007115626486</c:v>
                </c:pt>
                <c:pt idx="60">
                  <c:v>0.16080666902157692</c:v>
                </c:pt>
                <c:pt idx="61">
                  <c:v>0.15598246895092963</c:v>
                </c:pt>
                <c:pt idx="62">
                  <c:v>0.15130299488240173</c:v>
                </c:pt>
                <c:pt idx="63">
                  <c:v>0.14676390503592968</c:v>
                </c:pt>
                <c:pt idx="64">
                  <c:v>0.1423609878848518</c:v>
                </c:pt>
                <c:pt idx="65">
                  <c:v>0.13809015824830626</c:v>
                </c:pt>
                <c:pt idx="66">
                  <c:v>0.13394745350085707</c:v>
                </c:pt>
                <c:pt idx="67">
                  <c:v>0.12992902989583135</c:v>
                </c:pt>
                <c:pt idx="68">
                  <c:v>0.12603115899895642</c:v>
                </c:pt>
                <c:pt idx="69">
                  <c:v>0.12225022422898774</c:v>
                </c:pt>
                <c:pt idx="70">
                  <c:v>0.1185827175021181</c:v>
                </c:pt>
                <c:pt idx="71">
                  <c:v>0.11502523597705455</c:v>
                </c:pt>
                <c:pt idx="72">
                  <c:v>0.11157447889774291</c:v>
                </c:pt>
                <c:pt idx="73">
                  <c:v>0.10822724453081063</c:v>
                </c:pt>
                <c:pt idx="74">
                  <c:v>0.10498042719488632</c:v>
                </c:pt>
                <c:pt idx="75">
                  <c:v>0.10183101437903973</c:v>
                </c:pt>
                <c:pt idx="76">
                  <c:v>9.8776083947668541E-2</c:v>
                </c:pt>
                <c:pt idx="77">
                  <c:v>9.5812801429238481E-2</c:v>
                </c:pt>
                <c:pt idx="78">
                  <c:v>9.2938417386361327E-2</c:v>
                </c:pt>
                <c:pt idx="79">
                  <c:v>9.0150264864770485E-2</c:v>
                </c:pt>
                <c:pt idx="80">
                  <c:v>8.7445756918827375E-2</c:v>
                </c:pt>
                <c:pt idx="81">
                  <c:v>8.482238421126255E-2</c:v>
                </c:pt>
                <c:pt idx="82">
                  <c:v>8.2277712684924675E-2</c:v>
                </c:pt>
                <c:pt idx="83">
                  <c:v>7.9809381304376939E-2</c:v>
                </c:pt>
                <c:pt idx="84">
                  <c:v>7.7415099865245626E-2</c:v>
                </c:pt>
                <c:pt idx="85">
                  <c:v>7.5092646869288251E-2</c:v>
                </c:pt>
                <c:pt idx="86">
                  <c:v>7.2839867463209598E-2</c:v>
                </c:pt>
                <c:pt idx="87">
                  <c:v>7.065467143931331E-2</c:v>
                </c:pt>
                <c:pt idx="88">
                  <c:v>6.8535031296133905E-2</c:v>
                </c:pt>
                <c:pt idx="89">
                  <c:v>6.6478980357249889E-2</c:v>
                </c:pt>
                <c:pt idx="90">
                  <c:v>6.4484610946532392E-2</c:v>
                </c:pt>
                <c:pt idx="91">
                  <c:v>6.2550072618136415E-2</c:v>
                </c:pt>
                <c:pt idx="92">
                  <c:v>6.0673570439592324E-2</c:v>
                </c:pt>
                <c:pt idx="93">
                  <c:v>5.8853363326404555E-2</c:v>
                </c:pt>
                <c:pt idx="94">
                  <c:v>5.7087762426612419E-2</c:v>
                </c:pt>
                <c:pt idx="95">
                  <c:v>5.5375129553814045E-2</c:v>
                </c:pt>
                <c:pt idx="96">
                  <c:v>5.3713875667199623E-2</c:v>
                </c:pt>
                <c:pt idx="97">
                  <c:v>5.2102459397183637E-2</c:v>
                </c:pt>
                <c:pt idx="98">
                  <c:v>5.0539385615268127E-2</c:v>
                </c:pt>
                <c:pt idx="99">
                  <c:v>4.9023204046810084E-2</c:v>
                </c:pt>
                <c:pt idx="100">
                  <c:v>4.7552507925405781E-2</c:v>
                </c:pt>
                <c:pt idx="101">
                  <c:v>4.612593268764361E-2</c:v>
                </c:pt>
                <c:pt idx="102">
                  <c:v>4.4742154707014301E-2</c:v>
                </c:pt>
                <c:pt idx="103">
                  <c:v>4.3399890065803873E-2</c:v>
                </c:pt>
                <c:pt idx="104">
                  <c:v>4.2097893363829755E-2</c:v>
                </c:pt>
                <c:pt idx="105">
                  <c:v>4.0834956562914859E-2</c:v>
                </c:pt>
                <c:pt idx="106">
                  <c:v>3.9609907866027416E-2</c:v>
                </c:pt>
                <c:pt idx="107">
                  <c:v>3.8421610630046593E-2</c:v>
                </c:pt>
                <c:pt idx="108">
                  <c:v>3.7268962311145196E-2</c:v>
                </c:pt>
                <c:pt idx="109">
                  <c:v>3.6150893441810841E-2</c:v>
                </c:pt>
                <c:pt idx="110">
                  <c:v>3.5066366638556515E-2</c:v>
                </c:pt>
                <c:pt idx="111">
                  <c:v>3.4014375639399817E-2</c:v>
                </c:pt>
                <c:pt idx="112">
                  <c:v>3.2993944370217826E-2</c:v>
                </c:pt>
                <c:pt idx="113">
                  <c:v>3.2004126039111291E-2</c:v>
                </c:pt>
                <c:pt idx="114">
                  <c:v>3.1044002257937953E-2</c:v>
                </c:pt>
                <c:pt idx="115">
                  <c:v>3.0112682190199816E-2</c:v>
                </c:pt>
                <c:pt idx="116">
                  <c:v>2.9209301724493823E-2</c:v>
                </c:pt>
                <c:pt idx="117">
                  <c:v>2.8333022672759008E-2</c:v>
                </c:pt>
                <c:pt idx="118">
                  <c:v>2.7483031992576238E-2</c:v>
                </c:pt>
                <c:pt idx="119">
                  <c:v>2.6658541032798952E-2</c:v>
                </c:pt>
                <c:pt idx="120">
                  <c:v>2.5858784801814985E-2</c:v>
                </c:pt>
                <c:pt idx="121">
                  <c:v>2.5083021257760536E-2</c:v>
                </c:pt>
                <c:pt idx="122">
                  <c:v>2.433053062002772E-2</c:v>
                </c:pt>
                <c:pt idx="123">
                  <c:v>2.3600614701426888E-2</c:v>
                </c:pt>
                <c:pt idx="124">
                  <c:v>2.289259626038408E-2</c:v>
                </c:pt>
                <c:pt idx="125">
                  <c:v>2.2205818372572558E-2</c:v>
                </c:pt>
                <c:pt idx="126">
                  <c:v>2.1539643821395383E-2</c:v>
                </c:pt>
                <c:pt idx="127">
                  <c:v>2.089345450675352E-2</c:v>
                </c:pt>
                <c:pt idx="128">
                  <c:v>2.0266650871550915E-2</c:v>
                </c:pt>
                <c:pt idx="129">
                  <c:v>1.9658651345404388E-2</c:v>
                </c:pt>
                <c:pt idx="130">
                  <c:v>1.9068891805042256E-2</c:v>
                </c:pt>
                <c:pt idx="131">
                  <c:v>1.8496825050890987E-2</c:v>
                </c:pt>
                <c:pt idx="132">
                  <c:v>1.7941920299364259E-2</c:v>
                </c:pt>
                <c:pt idx="133">
                  <c:v>1.7403662690383331E-2</c:v>
                </c:pt>
                <c:pt idx="134">
                  <c:v>1.6881552809671831E-2</c:v>
                </c:pt>
                <c:pt idx="135">
                  <c:v>1.6375106225381676E-2</c:v>
                </c:pt>
                <c:pt idx="136">
                  <c:v>1.5883853038620225E-2</c:v>
                </c:pt>
                <c:pt idx="137">
                  <c:v>1.5407337447461618E-2</c:v>
                </c:pt>
                <c:pt idx="138">
                  <c:v>1.494511732403777E-2</c:v>
                </c:pt>
                <c:pt idx="139">
                  <c:v>1.4496763804316637E-2</c:v>
                </c:pt>
                <c:pt idx="140">
                  <c:v>1.4061860890187138E-2</c:v>
                </c:pt>
                <c:pt idx="141">
                  <c:v>1.3640005063481524E-2</c:v>
                </c:pt>
                <c:pt idx="142">
                  <c:v>1.3230804911577078E-2</c:v>
                </c:pt>
                <c:pt idx="143">
                  <c:v>1.2833880764229765E-2</c:v>
                </c:pt>
                <c:pt idx="144">
                  <c:v>1.2448864341302872E-2</c:v>
                </c:pt>
                <c:pt idx="145">
                  <c:v>1.2075398411063787E-2</c:v>
                </c:pt>
                <c:pt idx="146">
                  <c:v>1.1713136458731873E-2</c:v>
                </c:pt>
                <c:pt idx="147">
                  <c:v>1.1361742364969916E-2</c:v>
                </c:pt>
                <c:pt idx="148">
                  <c:v>1.1020890094020819E-2</c:v>
                </c:pt>
                <c:pt idx="149">
                  <c:v>1.0690263391200194E-2</c:v>
                </c:pt>
                <c:pt idx="150">
                  <c:v>1.0369555489464189E-2</c:v>
                </c:pt>
                <c:pt idx="151">
                  <c:v>1.0058468824780262E-2</c:v>
                </c:pt>
                <c:pt idx="152">
                  <c:v>9.7567147600368543E-3</c:v>
                </c:pt>
                <c:pt idx="153">
                  <c:v>9.4640133172357484E-3</c:v>
                </c:pt>
                <c:pt idx="154">
                  <c:v>9.1800929177186762E-3</c:v>
                </c:pt>
                <c:pt idx="155">
                  <c:v>8.9046901301871161E-3</c:v>
                </c:pt>
                <c:pt idx="156">
                  <c:v>8.6375494262815027E-3</c:v>
                </c:pt>
                <c:pt idx="157">
                  <c:v>8.3784229434930579E-3</c:v>
                </c:pt>
                <c:pt idx="158">
                  <c:v>8.1270702551882665E-3</c:v>
                </c:pt>
                <c:pt idx="159">
                  <c:v>7.8832581475326187E-3</c:v>
                </c:pt>
                <c:pt idx="160">
                  <c:v>7.6467604031066399E-3</c:v>
                </c:pt>
                <c:pt idx="161">
                  <c:v>7.4173575910134407E-3</c:v>
                </c:pt>
                <c:pt idx="162">
                  <c:v>7.1948368632830375E-3</c:v>
                </c:pt>
                <c:pt idx="163">
                  <c:v>6.9789917573845461E-3</c:v>
                </c:pt>
                <c:pt idx="164">
                  <c:v>6.7696220046630099E-3</c:v>
                </c:pt>
                <c:pt idx="165">
                  <c:v>6.5665333445231195E-3</c:v>
                </c:pt>
                <c:pt idx="166">
                  <c:v>6.3695373441874257E-3</c:v>
                </c:pt>
                <c:pt idx="167">
                  <c:v>6.178451223861803E-3</c:v>
                </c:pt>
                <c:pt idx="168">
                  <c:v>5.9930976871459488E-3</c:v>
                </c:pt>
                <c:pt idx="169">
                  <c:v>5.8133047565315701E-3</c:v>
                </c:pt>
                <c:pt idx="170">
                  <c:v>5.6389056138356226E-3</c:v>
                </c:pt>
                <c:pt idx="171">
                  <c:v>5.4697384454205538E-3</c:v>
                </c:pt>
                <c:pt idx="172">
                  <c:v>5.3056462920579375E-3</c:v>
                </c:pt>
                <c:pt idx="173">
                  <c:v>5.1464769032961996E-3</c:v>
                </c:pt>
                <c:pt idx="174">
                  <c:v>4.9920825961973139E-3</c:v>
                </c:pt>
                <c:pt idx="175">
                  <c:v>4.8423201183113943E-3</c:v>
                </c:pt>
                <c:pt idx="176">
                  <c:v>4.6970505147620528E-3</c:v>
                </c:pt>
                <c:pt idx="177">
                  <c:v>4.5561389993191911E-3</c:v>
                </c:pt>
                <c:pt idx="178">
                  <c:v>4.4194548293396158E-3</c:v>
                </c:pt>
                <c:pt idx="179">
                  <c:v>4.2868711844594272E-3</c:v>
                </c:pt>
                <c:pt idx="180">
                  <c:v>4.1582650489256443E-3</c:v>
                </c:pt>
                <c:pt idx="181">
                  <c:v>4.0335170974578746E-3</c:v>
                </c:pt>
                <c:pt idx="182">
                  <c:v>3.9125115845341386E-3</c:v>
                </c:pt>
                <c:pt idx="183">
                  <c:v>3.7951362369981144E-3</c:v>
                </c:pt>
                <c:pt idx="184">
                  <c:v>3.681282149888171E-3</c:v>
                </c:pt>
                <c:pt idx="185">
                  <c:v>3.5708436853915258E-3</c:v>
                </c:pt>
                <c:pt idx="186">
                  <c:v>3.4637183748297802E-3</c:v>
                </c:pt>
                <c:pt idx="187">
                  <c:v>3.3598068235848868E-3</c:v>
                </c:pt>
                <c:pt idx="188">
                  <c:v>3.2590126188773404E-3</c:v>
                </c:pt>
                <c:pt idx="189">
                  <c:v>3.1612422403110201E-3</c:v>
                </c:pt>
                <c:pt idx="190">
                  <c:v>3.0664049731016895E-3</c:v>
                </c:pt>
                <c:pt idx="191">
                  <c:v>2.9744128239086389E-3</c:v>
                </c:pt>
                <c:pt idx="192">
                  <c:v>2.8851804391913797E-3</c:v>
                </c:pt>
                <c:pt idx="193">
                  <c:v>2.7986250260156383E-3</c:v>
                </c:pt>
                <c:pt idx="194">
                  <c:v>2.714666275235169E-3</c:v>
                </c:pt>
                <c:pt idx="195">
                  <c:v>2.6332262869781138E-3</c:v>
                </c:pt>
                <c:pt idx="196">
                  <c:v>2.5542294983687706E-3</c:v>
                </c:pt>
                <c:pt idx="197">
                  <c:v>2.4776026134177074E-3</c:v>
                </c:pt>
                <c:pt idx="198">
                  <c:v>2.4032745350151762E-3</c:v>
                </c:pt>
                <c:pt idx="199">
                  <c:v>2.3311762989647209E-3</c:v>
                </c:pt>
                <c:pt idx="200">
                  <c:v>2.2612410099957791E-3</c:v>
                </c:pt>
                <c:pt idx="201">
                  <c:v>2.1934037796959059E-3</c:v>
                </c:pt>
                <c:pt idx="202">
                  <c:v>2.1276016663050287E-3</c:v>
                </c:pt>
                <c:pt idx="203">
                  <c:v>2.0637736163158778E-3</c:v>
                </c:pt>
                <c:pt idx="204">
                  <c:v>2.0018604078264014E-3</c:v>
                </c:pt>
                <c:pt idx="205">
                  <c:v>1.9418045955916093E-3</c:v>
                </c:pt>
                <c:pt idx="206">
                  <c:v>1.8835504577238611E-3</c:v>
                </c:pt>
                <c:pt idx="207">
                  <c:v>1.8270439439921453E-3</c:v>
                </c:pt>
                <c:pt idx="208">
                  <c:v>1.772232625672381E-3</c:v>
                </c:pt>
                <c:pt idx="209">
                  <c:v>1.7190656469022096E-3</c:v>
                </c:pt>
                <c:pt idx="210">
                  <c:v>1.6674936774951432E-3</c:v>
                </c:pt>
                <c:pt idx="211">
                  <c:v>1.6174688671702889E-3</c:v>
                </c:pt>
                <c:pt idx="212">
                  <c:v>1.5689448011551802E-3</c:v>
                </c:pt>
                <c:pt idx="213">
                  <c:v>1.5218764571205249E-3</c:v>
                </c:pt>
                <c:pt idx="214">
                  <c:v>1.4762201634069092E-3</c:v>
                </c:pt>
                <c:pt idx="215">
                  <c:v>1.4319335585047019E-3</c:v>
                </c:pt>
                <c:pt idx="216">
                  <c:v>1.3889755517495609E-3</c:v>
                </c:pt>
                <c:pt idx="217">
                  <c:v>1.3473062851970742E-3</c:v>
                </c:pt>
                <c:pt idx="218">
                  <c:v>1.3068870966411619E-3</c:v>
                </c:pt>
                <c:pt idx="219">
                  <c:v>1.2676804837419271E-3</c:v>
                </c:pt>
                <c:pt idx="220">
                  <c:v>1.2296500692296694E-3</c:v>
                </c:pt>
                <c:pt idx="221">
                  <c:v>1.1927605671527793E-3</c:v>
                </c:pt>
                <c:pt idx="222">
                  <c:v>1.1569777501381959E-3</c:v>
                </c:pt>
                <c:pt idx="223">
                  <c:v>1.12226841763405E-3</c:v>
                </c:pt>
                <c:pt idx="224">
                  <c:v>1.0886003651050286E-3</c:v>
                </c:pt>
                <c:pt idx="225">
                  <c:v>1.0559423541518778E-3</c:v>
                </c:pt>
                <c:pt idx="226">
                  <c:v>1.0242640835273216E-3</c:v>
                </c:pt>
                <c:pt idx="227">
                  <c:v>9.9353616102150185E-4</c:v>
                </c:pt>
                <c:pt idx="228">
                  <c:v>9.6373007619085678E-4</c:v>
                </c:pt>
                <c:pt idx="229">
                  <c:v>9.3481817390513109E-4</c:v>
                </c:pt>
                <c:pt idx="230">
                  <c:v>9.0677362868797715E-4</c:v>
                </c:pt>
                <c:pt idx="231">
                  <c:v>8.7957041982733781E-4</c:v>
                </c:pt>
                <c:pt idx="232">
                  <c:v>8.5318330723251773E-4</c:v>
                </c:pt>
                <c:pt idx="233">
                  <c:v>8.2758780801554224E-4</c:v>
                </c:pt>
                <c:pt idx="234">
                  <c:v>8.0276017377507594E-4</c:v>
                </c:pt>
                <c:pt idx="235">
                  <c:v>7.7867736856182372E-4</c:v>
                </c:pt>
                <c:pt idx="236">
                  <c:v>7.5531704750496896E-4</c:v>
                </c:pt>
                <c:pt idx="237">
                  <c:v>7.3265753607981991E-4</c:v>
                </c:pt>
                <c:pt idx="238">
                  <c:v>7.1067780999742531E-4</c:v>
                </c:pt>
                <c:pt idx="239">
                  <c:v>6.8935747569750258E-4</c:v>
                </c:pt>
                <c:pt idx="240">
                  <c:v>6.6867675142657753E-4</c:v>
                </c:pt>
                <c:pt idx="241">
                  <c:v>6.4861644888378016E-4</c:v>
                </c:pt>
                <c:pt idx="242">
                  <c:v>6.2915795541726677E-4</c:v>
                </c:pt>
                <c:pt idx="243">
                  <c:v>6.1028321675474879E-4</c:v>
                </c:pt>
                <c:pt idx="244">
                  <c:v>5.9197472025210632E-4</c:v>
                </c:pt>
                <c:pt idx="245">
                  <c:v>5.7421547864454315E-4</c:v>
                </c:pt>
                <c:pt idx="246">
                  <c:v>5.5698901428520684E-4</c:v>
                </c:pt>
                <c:pt idx="247">
                  <c:v>5.4027934385665068E-4</c:v>
                </c:pt>
                <c:pt idx="248">
                  <c:v>5.240709635409512E-4</c:v>
                </c:pt>
                <c:pt idx="249">
                  <c:v>5.0834883463472271E-4</c:v>
                </c:pt>
                <c:pt idx="250">
                  <c:v>4.9309836959568107E-4</c:v>
                </c:pt>
                <c:pt idx="251">
                  <c:v>4.7830541850781065E-4</c:v>
                </c:pt>
                <c:pt idx="252">
                  <c:v>4.6395625595257631E-4</c:v>
                </c:pt>
                <c:pt idx="253">
                  <c:v>4.5003756827399901E-4</c:v>
                </c:pt>
                <c:pt idx="254">
                  <c:v>4.3653644122577907E-4</c:v>
                </c:pt>
                <c:pt idx="255">
                  <c:v>4.2344034798900569E-4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F-45AC-BCA2-D0D414BC6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040672"/>
        <c:axId val="1"/>
      </c:lineChart>
      <c:catAx>
        <c:axId val="2570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70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4151370909144829"/>
          <c:y val="0.16616268747692137"/>
          <c:w val="0.12684787282945564"/>
          <c:h val="0.154640285492200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180975</xdr:rowOff>
    </xdr:from>
    <xdr:to>
      <xdr:col>25</xdr:col>
      <xdr:colOff>47625</xdr:colOff>
      <xdr:row>34</xdr:row>
      <xdr:rowOff>123824</xdr:rowOff>
    </xdr:to>
    <xdr:graphicFrame macro="">
      <xdr:nvGraphicFramePr>
        <xdr:cNvPr id="1041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1"/>
  <sheetViews>
    <sheetView tabSelected="1" workbookViewId="0">
      <selection activeCell="G4" sqref="G4"/>
    </sheetView>
  </sheetViews>
  <sheetFormatPr baseColWidth="10" defaultRowHeight="12.75" x14ac:dyDescent="0.2"/>
  <cols>
    <col min="1" max="2" width="11.42578125" style="2"/>
    <col min="3" max="3" width="12.42578125" style="2" customWidth="1"/>
    <col min="4" max="4" width="12.42578125" style="3" customWidth="1"/>
    <col min="5" max="5" width="13.28515625" style="2" customWidth="1"/>
    <col min="6" max="7" width="11.42578125" style="2"/>
    <col min="8" max="8" width="11.85546875" style="2" customWidth="1"/>
    <col min="9" max="16384" width="11.42578125" style="2"/>
  </cols>
  <sheetData>
    <row r="1" spans="1:13" ht="20.25" customHeight="1" x14ac:dyDescent="0.2">
      <c r="A1" s="1" t="s">
        <v>11</v>
      </c>
      <c r="G1" s="5" t="s">
        <v>17</v>
      </c>
      <c r="H1" s="5" t="s">
        <v>17</v>
      </c>
      <c r="I1" s="5" t="s">
        <v>17</v>
      </c>
    </row>
    <row r="2" spans="1:13" x14ac:dyDescent="0.2">
      <c r="A2" s="1" t="s">
        <v>3</v>
      </c>
      <c r="B2" s="4" t="s">
        <v>0</v>
      </c>
      <c r="C2" s="10" t="s">
        <v>6</v>
      </c>
      <c r="D2" s="18" t="s">
        <v>5</v>
      </c>
      <c r="E2" s="19" t="s">
        <v>15</v>
      </c>
      <c r="F2" s="1" t="s">
        <v>4</v>
      </c>
      <c r="G2" s="5" t="s">
        <v>0</v>
      </c>
      <c r="H2" s="21" t="s">
        <v>19</v>
      </c>
      <c r="I2" s="21" t="s">
        <v>20</v>
      </c>
      <c r="K2" s="7" t="s">
        <v>7</v>
      </c>
      <c r="L2" s="13"/>
    </row>
    <row r="3" spans="1:13" x14ac:dyDescent="0.2">
      <c r="A3" s="1">
        <v>0</v>
      </c>
      <c r="B3" s="4">
        <f>A3/255</f>
        <v>0</v>
      </c>
      <c r="C3" s="6">
        <f>$L$7*B3/((1+$L$7)-B3)</f>
        <v>0</v>
      </c>
      <c r="D3" s="3">
        <f>C3*(1-$L$6) + $L$6</f>
        <v>7.874015748031496E-2</v>
      </c>
      <c r="E3" s="15"/>
      <c r="F3" s="14" t="s">
        <v>14</v>
      </c>
      <c r="G3" s="5"/>
      <c r="K3" s="7" t="s">
        <v>2</v>
      </c>
      <c r="L3" s="13">
        <v>10</v>
      </c>
    </row>
    <row r="4" spans="1:13" x14ac:dyDescent="0.2">
      <c r="A4" s="2">
        <v>255</v>
      </c>
      <c r="B4" s="4">
        <f>A4/255</f>
        <v>1</v>
      </c>
      <c r="C4" s="6">
        <f>$L$7*B4/((1+$L$7)-B4)</f>
        <v>0.99999999999999911</v>
      </c>
      <c r="D4" s="3">
        <f>C4*(1-$L$6) + $L$6</f>
        <v>0.99999999999999922</v>
      </c>
      <c r="E4" s="16">
        <v>1</v>
      </c>
      <c r="F4" s="2">
        <f>ROUND(D4*127,0)</f>
        <v>127</v>
      </c>
      <c r="G4" s="2">
        <f>ROUND(A4*$L$10/255,0)</f>
        <v>1024</v>
      </c>
      <c r="H4" s="2">
        <f t="shared" ref="H4:H68" si="0">ROUND($L$8*G4/(($L$10+$L$8) - G4),0)</f>
        <v>1024</v>
      </c>
      <c r="I4" s="2">
        <f>H4*(127 - $L$3)/1024 + $L$3</f>
        <v>127</v>
      </c>
      <c r="K4" s="9" t="s">
        <v>1</v>
      </c>
      <c r="L4" s="13">
        <v>20</v>
      </c>
      <c r="M4" s="4" t="s">
        <v>9</v>
      </c>
    </row>
    <row r="5" spans="1:13" x14ac:dyDescent="0.2">
      <c r="A5" s="2">
        <v>254</v>
      </c>
      <c r="B5" s="4">
        <f t="shared" ref="B5:B68" si="1">A5/255</f>
        <v>0.99607843137254903</v>
      </c>
      <c r="C5" s="6">
        <f>$L$7*B5/((1+$L$7)-B5)</f>
        <v>0.92363636363636314</v>
      </c>
      <c r="D5" s="3">
        <f>C5*(1-$L$6) + $L$6</f>
        <v>0.92964924838940544</v>
      </c>
      <c r="E5" s="16">
        <f>E4-E4*$L$5</f>
        <v>0.97</v>
      </c>
      <c r="F5" s="2">
        <f t="shared" ref="F5:F68" si="2">ROUND(D5*127,0)</f>
        <v>118</v>
      </c>
      <c r="G5" s="2">
        <f t="shared" ref="G5:G68" si="3">ROUND(A5*$L$10/255,0)</f>
        <v>1020</v>
      </c>
      <c r="H5" s="2">
        <f t="shared" si="0"/>
        <v>944</v>
      </c>
      <c r="I5" s="2">
        <f t="shared" ref="I5:I68" si="4">H5*(127 - $L$3)/1024 + $L$3</f>
        <v>117.859375</v>
      </c>
      <c r="K5" s="20" t="s">
        <v>12</v>
      </c>
      <c r="L5" s="17">
        <v>0.03</v>
      </c>
      <c r="M5" s="2" t="s">
        <v>13</v>
      </c>
    </row>
    <row r="6" spans="1:13" x14ac:dyDescent="0.2">
      <c r="A6" s="2">
        <v>253</v>
      </c>
      <c r="B6" s="4">
        <f t="shared" si="1"/>
        <v>0.99215686274509807</v>
      </c>
      <c r="C6" s="6">
        <f>$L$7*B6/((1+$L$7)-B6)</f>
        <v>0.8576271186440676</v>
      </c>
      <c r="D6" s="3">
        <f>C6*(1-$L$6) + $L$6</f>
        <v>0.86883758174295989</v>
      </c>
      <c r="E6" s="16">
        <f>E5-E5*$L$5</f>
        <v>0.94089999999999996</v>
      </c>
      <c r="F6" s="2">
        <f t="shared" si="2"/>
        <v>110</v>
      </c>
      <c r="G6" s="2">
        <f t="shared" si="3"/>
        <v>1016</v>
      </c>
      <c r="H6" s="2">
        <f t="shared" si="0"/>
        <v>876</v>
      </c>
      <c r="I6" s="2">
        <f t="shared" si="4"/>
        <v>110.08984375</v>
      </c>
      <c r="K6" s="12" t="s">
        <v>10</v>
      </c>
      <c r="L6" s="12">
        <f>L3/127</f>
        <v>7.874015748031496E-2</v>
      </c>
    </row>
    <row r="7" spans="1:13" x14ac:dyDescent="0.2">
      <c r="A7" s="2">
        <v>252</v>
      </c>
      <c r="B7" s="4">
        <f t="shared" si="1"/>
        <v>0.9882352941176471</v>
      </c>
      <c r="C7" s="6">
        <f>$L$7*B7/((1+$L$7)-B7)</f>
        <v>0.8</v>
      </c>
      <c r="D7" s="3">
        <f>C7*(1-$L$6) + $L$6</f>
        <v>0.81574803149606301</v>
      </c>
      <c r="E7" s="16">
        <f>E6-E6*$L$5</f>
        <v>0.91267299999999996</v>
      </c>
      <c r="F7" s="2">
        <f t="shared" si="2"/>
        <v>104</v>
      </c>
      <c r="G7" s="2">
        <f t="shared" si="3"/>
        <v>1012</v>
      </c>
      <c r="H7" s="2">
        <f t="shared" si="0"/>
        <v>816</v>
      </c>
      <c r="I7" s="2">
        <f t="shared" si="4"/>
        <v>103.234375</v>
      </c>
      <c r="K7" s="11" t="s">
        <v>8</v>
      </c>
      <c r="L7" s="12">
        <f>1/L4</f>
        <v>0.05</v>
      </c>
    </row>
    <row r="8" spans="1:13" x14ac:dyDescent="0.2">
      <c r="A8" s="2">
        <v>251</v>
      </c>
      <c r="B8" s="4">
        <f t="shared" si="1"/>
        <v>0.98431372549019602</v>
      </c>
      <c r="C8" s="6">
        <f>$L$7*B8/((1+$L$7)-B8)</f>
        <v>0.74925373134328244</v>
      </c>
      <c r="D8" s="3">
        <f>C8*(1-$L$6) + $L$6</f>
        <v>0.76899753202491372</v>
      </c>
      <c r="E8" s="16">
        <f>E7-E7*$L$5</f>
        <v>0.88529280999999993</v>
      </c>
      <c r="F8" s="2">
        <f t="shared" si="2"/>
        <v>98</v>
      </c>
      <c r="G8" s="2">
        <f t="shared" si="3"/>
        <v>1008</v>
      </c>
      <c r="H8" s="2">
        <f t="shared" si="0"/>
        <v>764</v>
      </c>
      <c r="I8" s="2">
        <f t="shared" si="4"/>
        <v>97.29296875</v>
      </c>
      <c r="K8" s="11" t="s">
        <v>16</v>
      </c>
      <c r="L8" s="12">
        <f>ROUND(1000/L4,0)</f>
        <v>50</v>
      </c>
    </row>
    <row r="9" spans="1:13" x14ac:dyDescent="0.2">
      <c r="A9" s="2">
        <v>250</v>
      </c>
      <c r="B9" s="4">
        <f t="shared" si="1"/>
        <v>0.98039215686274506</v>
      </c>
      <c r="C9" s="6">
        <f>$L$7*B9/((1+$L$7)-B9)</f>
        <v>0.70422535211267523</v>
      </c>
      <c r="D9" s="3">
        <f>C9*(1-$L$6) + $L$6</f>
        <v>0.72751469446600792</v>
      </c>
      <c r="E9" s="16">
        <f>E8-E8*$L$5</f>
        <v>0.8587340256999999</v>
      </c>
      <c r="F9" s="2">
        <f t="shared" si="2"/>
        <v>92</v>
      </c>
      <c r="G9" s="2">
        <f t="shared" si="3"/>
        <v>1004</v>
      </c>
      <c r="H9" s="2">
        <f t="shared" si="0"/>
        <v>717</v>
      </c>
      <c r="I9" s="2">
        <f t="shared" si="4"/>
        <v>91.9228515625</v>
      </c>
    </row>
    <row r="10" spans="1:13" x14ac:dyDescent="0.2">
      <c r="A10" s="2">
        <v>249</v>
      </c>
      <c r="B10" s="4">
        <f t="shared" si="1"/>
        <v>0.97647058823529409</v>
      </c>
      <c r="C10" s="6">
        <f>$L$7*B10/((1+$L$7)-B10)</f>
        <v>0.66399999999999937</v>
      </c>
      <c r="D10" s="3">
        <f>C10*(1-$L$6) + $L$6</f>
        <v>0.69045669291338518</v>
      </c>
      <c r="E10" s="16">
        <f>E9-E9*$L$5</f>
        <v>0.83297200492899992</v>
      </c>
      <c r="F10" s="2">
        <f t="shared" si="2"/>
        <v>88</v>
      </c>
      <c r="G10" s="2">
        <f t="shared" si="3"/>
        <v>1000</v>
      </c>
      <c r="H10" s="2">
        <f t="shared" si="0"/>
        <v>676</v>
      </c>
      <c r="I10" s="2">
        <f t="shared" si="4"/>
        <v>87.23828125</v>
      </c>
      <c r="K10" s="2" t="s">
        <v>18</v>
      </c>
      <c r="L10" s="2">
        <v>1024</v>
      </c>
    </row>
    <row r="11" spans="1:13" x14ac:dyDescent="0.2">
      <c r="A11" s="2">
        <v>248</v>
      </c>
      <c r="B11" s="4">
        <f t="shared" si="1"/>
        <v>0.97254901960784312</v>
      </c>
      <c r="C11" s="6">
        <f>$L$7*B11/((1+$L$7)-B11)</f>
        <v>0.62784810126582236</v>
      </c>
      <c r="D11" s="3">
        <f>C11*(1-$L$6) + $L$6</f>
        <v>0.65715140037874975</v>
      </c>
      <c r="E11" s="16">
        <f>E10-E10*$L$5</f>
        <v>0.80798284478112992</v>
      </c>
      <c r="F11" s="2">
        <f t="shared" si="2"/>
        <v>83</v>
      </c>
      <c r="G11" s="2">
        <f t="shared" si="3"/>
        <v>996</v>
      </c>
      <c r="H11" s="2">
        <f t="shared" si="0"/>
        <v>638</v>
      </c>
      <c r="I11" s="2">
        <f t="shared" si="4"/>
        <v>82.896484375</v>
      </c>
    </row>
    <row r="12" spans="1:13" x14ac:dyDescent="0.2">
      <c r="A12" s="2">
        <v>247</v>
      </c>
      <c r="B12" s="4">
        <f t="shared" si="1"/>
        <v>0.96862745098039216</v>
      </c>
      <c r="C12" s="6">
        <f>$L$7*B12/((1+$L$7)-B12)</f>
        <v>0.59518072289156598</v>
      </c>
      <c r="D12" s="3">
        <f>C12*(1-$L$6) + $L$6</f>
        <v>0.62705625652215136</v>
      </c>
      <c r="E12" s="16">
        <f>E11-E11*$L$5</f>
        <v>0.78374335943769602</v>
      </c>
      <c r="F12" s="2">
        <f t="shared" si="2"/>
        <v>80</v>
      </c>
      <c r="G12" s="2">
        <f t="shared" si="3"/>
        <v>992</v>
      </c>
      <c r="H12" s="2">
        <f t="shared" si="0"/>
        <v>605</v>
      </c>
      <c r="I12" s="2">
        <f t="shared" si="4"/>
        <v>79.1259765625</v>
      </c>
    </row>
    <row r="13" spans="1:13" x14ac:dyDescent="0.2">
      <c r="A13" s="2">
        <v>246</v>
      </c>
      <c r="B13" s="4">
        <f t="shared" si="1"/>
        <v>0.96470588235294119</v>
      </c>
      <c r="C13" s="6">
        <f>$L$7*B13/((1+$L$7)-B13)</f>
        <v>0.56551724137931025</v>
      </c>
      <c r="D13" s="3">
        <f>C13*(1-$L$6) + $L$6</f>
        <v>0.59972848221558506</v>
      </c>
      <c r="E13" s="16">
        <f>E12-E12*$L$5</f>
        <v>0.76023105865456508</v>
      </c>
      <c r="F13" s="2">
        <f t="shared" si="2"/>
        <v>76</v>
      </c>
      <c r="G13" s="2">
        <f t="shared" si="3"/>
        <v>988</v>
      </c>
      <c r="H13" s="2">
        <f t="shared" si="0"/>
        <v>574</v>
      </c>
      <c r="I13" s="2">
        <f t="shared" si="4"/>
        <v>75.583984375</v>
      </c>
    </row>
    <row r="14" spans="1:13" x14ac:dyDescent="0.2">
      <c r="A14" s="2">
        <v>245</v>
      </c>
      <c r="B14" s="4">
        <f t="shared" si="1"/>
        <v>0.96078431372549022</v>
      </c>
      <c r="C14" s="6">
        <f>$L$7*B14/((1+$L$7)-B14)</f>
        <v>0.53846153846153844</v>
      </c>
      <c r="D14" s="3">
        <f>C14*(1-$L$6) + $L$6</f>
        <v>0.57480314960629919</v>
      </c>
      <c r="E14" s="16">
        <f>E13-E13*$L$5</f>
        <v>0.73742412689492809</v>
      </c>
      <c r="F14" s="2">
        <f t="shared" si="2"/>
        <v>73</v>
      </c>
      <c r="G14" s="2">
        <f t="shared" si="3"/>
        <v>984</v>
      </c>
      <c r="H14" s="2">
        <f t="shared" si="0"/>
        <v>547</v>
      </c>
      <c r="I14" s="2">
        <f t="shared" si="4"/>
        <v>72.4990234375</v>
      </c>
    </row>
    <row r="15" spans="1:13" x14ac:dyDescent="0.2">
      <c r="A15" s="2">
        <v>244</v>
      </c>
      <c r="B15" s="4">
        <f t="shared" si="1"/>
        <v>0.95686274509803926</v>
      </c>
      <c r="C15" s="6">
        <f>$L$7*B15/((1+$L$7)-B15)</f>
        <v>0.51368421052631585</v>
      </c>
      <c r="D15" s="3">
        <f>C15*(1-$L$6) + $L$6</f>
        <v>0.55197679237463748</v>
      </c>
      <c r="E15" s="16">
        <f>E14-E14*$L$5</f>
        <v>0.71530140308808021</v>
      </c>
      <c r="F15" s="2">
        <f t="shared" si="2"/>
        <v>70</v>
      </c>
      <c r="G15" s="2">
        <f t="shared" si="3"/>
        <v>980</v>
      </c>
      <c r="H15" s="2">
        <f t="shared" si="0"/>
        <v>521</v>
      </c>
      <c r="I15" s="2">
        <f t="shared" si="4"/>
        <v>69.5283203125</v>
      </c>
    </row>
    <row r="16" spans="1:13" x14ac:dyDescent="0.2">
      <c r="A16" s="2">
        <v>243</v>
      </c>
      <c r="B16" s="4">
        <f t="shared" si="1"/>
        <v>0.95294117647058818</v>
      </c>
      <c r="C16" s="6">
        <f>$L$7*B16/((1+$L$7)-B16)</f>
        <v>0.49090909090909041</v>
      </c>
      <c r="D16" s="3">
        <f>C16*(1-$L$6) + $L$6</f>
        <v>0.53099498926270539</v>
      </c>
      <c r="E16" s="16">
        <f>E15-E15*$L$5</f>
        <v>0.69384236099543783</v>
      </c>
      <c r="F16" s="2">
        <f t="shared" si="2"/>
        <v>67</v>
      </c>
      <c r="G16" s="2">
        <f t="shared" si="3"/>
        <v>976</v>
      </c>
      <c r="H16" s="2">
        <f t="shared" si="0"/>
        <v>498</v>
      </c>
      <c r="I16" s="2">
        <f t="shared" si="4"/>
        <v>66.900390625</v>
      </c>
    </row>
    <row r="17" spans="1:9" x14ac:dyDescent="0.2">
      <c r="A17" s="2">
        <v>242</v>
      </c>
      <c r="B17" s="4">
        <f t="shared" si="1"/>
        <v>0.94901960784313721</v>
      </c>
      <c r="C17" s="6">
        <f>$L$7*B17/((1+$L$7)-B17)</f>
        <v>0.46990291262135886</v>
      </c>
      <c r="D17" s="3">
        <f>C17*(1-$L$6) + $L$6</f>
        <v>0.51164284076140931</v>
      </c>
      <c r="E17" s="16">
        <f>E16-E16*$L$5</f>
        <v>0.67302709016557472</v>
      </c>
      <c r="F17" s="2">
        <f t="shared" si="2"/>
        <v>65</v>
      </c>
      <c r="G17" s="2">
        <f t="shared" si="3"/>
        <v>972</v>
      </c>
      <c r="H17" s="2">
        <f t="shared" si="0"/>
        <v>476</v>
      </c>
      <c r="I17" s="2">
        <f t="shared" si="4"/>
        <v>64.38671875</v>
      </c>
    </row>
    <row r="18" spans="1:9" x14ac:dyDescent="0.2">
      <c r="A18" s="2">
        <v>241</v>
      </c>
      <c r="B18" s="4">
        <f t="shared" si="1"/>
        <v>0.94509803921568625</v>
      </c>
      <c r="C18" s="6">
        <f>$L$7*B18/((1+$L$7)-B18)</f>
        <v>0.45046728971962585</v>
      </c>
      <c r="D18" s="3">
        <f>C18*(1-$L$6) + $L$6</f>
        <v>0.49373758186768679</v>
      </c>
      <c r="E18" s="16">
        <f>E17-E17*$L$5</f>
        <v>0.65283627746060746</v>
      </c>
      <c r="F18" s="2">
        <f t="shared" si="2"/>
        <v>63</v>
      </c>
      <c r="G18" s="2">
        <f t="shared" si="3"/>
        <v>968</v>
      </c>
      <c r="H18" s="2">
        <f t="shared" si="0"/>
        <v>457</v>
      </c>
      <c r="I18" s="2">
        <f t="shared" si="4"/>
        <v>62.2158203125</v>
      </c>
    </row>
    <row r="19" spans="1:9" x14ac:dyDescent="0.2">
      <c r="A19" s="2">
        <v>240</v>
      </c>
      <c r="B19" s="4">
        <f t="shared" si="1"/>
        <v>0.94117647058823528</v>
      </c>
      <c r="C19" s="6">
        <f>$L$7*B19/((1+$L$7)-B19)</f>
        <v>0.43243243243243218</v>
      </c>
      <c r="D19" s="3">
        <f>C19*(1-$L$6) + $L$6</f>
        <v>0.47712279208342179</v>
      </c>
      <c r="E19" s="16">
        <f>E18-E18*$L$5</f>
        <v>0.63325118913678924</v>
      </c>
      <c r="F19" s="2">
        <f t="shared" si="2"/>
        <v>61</v>
      </c>
      <c r="G19" s="2">
        <f t="shared" si="3"/>
        <v>964</v>
      </c>
      <c r="H19" s="2">
        <f t="shared" si="0"/>
        <v>438</v>
      </c>
      <c r="I19" s="2">
        <f t="shared" si="4"/>
        <v>60.044921875</v>
      </c>
    </row>
    <row r="20" spans="1:9" x14ac:dyDescent="0.2">
      <c r="A20" s="2">
        <v>239</v>
      </c>
      <c r="B20" s="4">
        <f t="shared" si="1"/>
        <v>0.93725490196078431</v>
      </c>
      <c r="C20" s="6">
        <f>$L$7*B20/((1+$L$7)-B20)</f>
        <v>0.41565217391304338</v>
      </c>
      <c r="D20" s="3">
        <f>C20*(1-$L$6) + $L$6</f>
        <v>0.46166381376241006</v>
      </c>
      <c r="E20" s="16">
        <f>E19-E19*$L$5</f>
        <v>0.61425365346268557</v>
      </c>
      <c r="F20" s="2">
        <f t="shared" si="2"/>
        <v>59</v>
      </c>
      <c r="G20" s="2">
        <f t="shared" si="3"/>
        <v>960</v>
      </c>
      <c r="H20" s="2">
        <f t="shared" si="0"/>
        <v>421</v>
      </c>
      <c r="I20" s="2">
        <f t="shared" si="4"/>
        <v>58.1025390625</v>
      </c>
    </row>
    <row r="21" spans="1:9" x14ac:dyDescent="0.2">
      <c r="A21" s="2">
        <v>238</v>
      </c>
      <c r="B21" s="4">
        <f t="shared" si="1"/>
        <v>0.93333333333333335</v>
      </c>
      <c r="C21" s="6">
        <f>$L$7*B21/((1+$L$7)-B21)</f>
        <v>0.39999999999999991</v>
      </c>
      <c r="D21" s="3">
        <f>C21*(1-$L$6) + $L$6</f>
        <v>0.44724409448818891</v>
      </c>
      <c r="E21" s="16">
        <f>E20-E20*$L$5</f>
        <v>0.595826043858805</v>
      </c>
      <c r="F21" s="2">
        <f t="shared" si="2"/>
        <v>57</v>
      </c>
      <c r="G21" s="2">
        <f t="shared" si="3"/>
        <v>956</v>
      </c>
      <c r="H21" s="2">
        <f t="shared" si="0"/>
        <v>405</v>
      </c>
      <c r="I21" s="2">
        <f t="shared" si="4"/>
        <v>56.2744140625</v>
      </c>
    </row>
    <row r="22" spans="1:9" x14ac:dyDescent="0.2">
      <c r="A22" s="2">
        <v>237</v>
      </c>
      <c r="B22" s="4">
        <f t="shared" si="1"/>
        <v>0.92941176470588238</v>
      </c>
      <c r="C22" s="6">
        <f>$L$7*B22/((1+$L$7)-B22)</f>
        <v>0.38536585365853659</v>
      </c>
      <c r="D22" s="3">
        <f>C22*(1-$L$6) + $L$6</f>
        <v>0.43376224313424239</v>
      </c>
      <c r="E22" s="16">
        <f>E21-E21*$L$5</f>
        <v>0.57795126254304086</v>
      </c>
      <c r="F22" s="2">
        <f t="shared" si="2"/>
        <v>55</v>
      </c>
      <c r="G22" s="2">
        <f t="shared" si="3"/>
        <v>952</v>
      </c>
      <c r="H22" s="2">
        <f t="shared" si="0"/>
        <v>390</v>
      </c>
      <c r="I22" s="2">
        <f t="shared" si="4"/>
        <v>54.560546875</v>
      </c>
    </row>
    <row r="23" spans="1:9" x14ac:dyDescent="0.2">
      <c r="A23" s="2">
        <v>236</v>
      </c>
      <c r="B23" s="4">
        <f t="shared" si="1"/>
        <v>0.92549019607843142</v>
      </c>
      <c r="C23" s="6">
        <f>$L$7*B23/((1+$L$7)-B23)</f>
        <v>0.37165354330708666</v>
      </c>
      <c r="D23" s="3">
        <f>C23*(1-$L$6) + $L$6</f>
        <v>0.42112964225928462</v>
      </c>
      <c r="E23" s="16">
        <f>E22-E22*$L$5</f>
        <v>0.56061272466674961</v>
      </c>
      <c r="F23" s="2">
        <f t="shared" si="2"/>
        <v>53</v>
      </c>
      <c r="G23" s="2">
        <f t="shared" si="3"/>
        <v>948</v>
      </c>
      <c r="H23" s="2">
        <f t="shared" si="0"/>
        <v>376</v>
      </c>
      <c r="I23" s="2">
        <f t="shared" si="4"/>
        <v>52.9609375</v>
      </c>
    </row>
    <row r="24" spans="1:9" x14ac:dyDescent="0.2">
      <c r="A24" s="2">
        <v>235</v>
      </c>
      <c r="B24" s="4">
        <f t="shared" si="1"/>
        <v>0.92156862745098034</v>
      </c>
      <c r="C24" s="6">
        <f>$L$7*B24/((1+$L$7)-B24)</f>
        <v>0.35877862595419824</v>
      </c>
      <c r="D24" s="3">
        <f>C24*(1-$L$6) + $L$6</f>
        <v>0.40926849792630859</v>
      </c>
      <c r="E24" s="16">
        <f>E23-E23*$L$5</f>
        <v>0.54379434292674711</v>
      </c>
      <c r="F24" s="2">
        <f t="shared" si="2"/>
        <v>52</v>
      </c>
      <c r="G24" s="2">
        <f t="shared" si="3"/>
        <v>944</v>
      </c>
      <c r="H24" s="2">
        <f t="shared" si="0"/>
        <v>363</v>
      </c>
      <c r="I24" s="2">
        <f t="shared" si="4"/>
        <v>51.4755859375</v>
      </c>
    </row>
    <row r="25" spans="1:9" x14ac:dyDescent="0.2">
      <c r="A25" s="2">
        <v>234</v>
      </c>
      <c r="B25" s="4">
        <f t="shared" si="1"/>
        <v>0.91764705882352937</v>
      </c>
      <c r="C25" s="6">
        <f>$L$7*B25/((1+$L$7)-B25)</f>
        <v>0.34666666666666646</v>
      </c>
      <c r="D25" s="3">
        <f>C25*(1-$L$6) + $L$6</f>
        <v>0.39811023622047226</v>
      </c>
      <c r="E25" s="16">
        <f>E24-E24*$L$5</f>
        <v>0.52748051263894469</v>
      </c>
      <c r="F25" s="2">
        <f t="shared" si="2"/>
        <v>51</v>
      </c>
      <c r="G25" s="2">
        <f t="shared" si="3"/>
        <v>940</v>
      </c>
      <c r="H25" s="2">
        <f t="shared" si="0"/>
        <v>351</v>
      </c>
      <c r="I25" s="2">
        <f t="shared" si="4"/>
        <v>50.1044921875</v>
      </c>
    </row>
    <row r="26" spans="1:9" x14ac:dyDescent="0.2">
      <c r="A26" s="2">
        <v>233</v>
      </c>
      <c r="B26" s="4">
        <f t="shared" si="1"/>
        <v>0.9137254901960784</v>
      </c>
      <c r="C26" s="6">
        <f>$L$7*B26/((1+$L$7)-B26)</f>
        <v>0.33525179856115089</v>
      </c>
      <c r="D26" s="3">
        <f>C26*(1-$L$6) + $L$6</f>
        <v>0.38759417662720197</v>
      </c>
      <c r="E26" s="16">
        <f>E25-E25*$L$5</f>
        <v>0.51165609725977634</v>
      </c>
      <c r="F26" s="2">
        <f t="shared" si="2"/>
        <v>49</v>
      </c>
      <c r="G26" s="2">
        <f t="shared" si="3"/>
        <v>936</v>
      </c>
      <c r="H26" s="2">
        <f t="shared" si="0"/>
        <v>339</v>
      </c>
      <c r="I26" s="2">
        <f t="shared" si="4"/>
        <v>48.7333984375</v>
      </c>
    </row>
    <row r="27" spans="1:9" x14ac:dyDescent="0.2">
      <c r="A27" s="2">
        <v>232</v>
      </c>
      <c r="B27" s="4">
        <f t="shared" si="1"/>
        <v>0.90980392156862744</v>
      </c>
      <c r="C27" s="6">
        <f>$L$7*B27/((1+$L$7)-B27)</f>
        <v>0.32447552447552436</v>
      </c>
      <c r="D27" s="3">
        <f>C27*(1-$L$6) + $L$6</f>
        <v>0.37766642806012873</v>
      </c>
      <c r="E27" s="16">
        <f>E26-E26*$L$5</f>
        <v>0.49630641434198308</v>
      </c>
      <c r="F27" s="2">
        <f t="shared" si="2"/>
        <v>48</v>
      </c>
      <c r="G27" s="2">
        <f t="shared" si="3"/>
        <v>932</v>
      </c>
      <c r="H27" s="2">
        <f t="shared" si="0"/>
        <v>328</v>
      </c>
      <c r="I27" s="2">
        <f t="shared" si="4"/>
        <v>47.4765625</v>
      </c>
    </row>
    <row r="28" spans="1:9" x14ac:dyDescent="0.2">
      <c r="A28" s="2">
        <v>231</v>
      </c>
      <c r="B28" s="4">
        <f t="shared" si="1"/>
        <v>0.90588235294117647</v>
      </c>
      <c r="C28" s="6">
        <f>$L$7*B28/((1+$L$7)-B28)</f>
        <v>0.31428571428571422</v>
      </c>
      <c r="D28" s="3">
        <f>C28*(1-$L$6) + $L$6</f>
        <v>0.36827896512935876</v>
      </c>
      <c r="E28" s="16">
        <f>E27-E27*$L$5</f>
        <v>0.48141722191172359</v>
      </c>
      <c r="F28" s="2">
        <f t="shared" si="2"/>
        <v>47</v>
      </c>
      <c r="G28" s="2">
        <f t="shared" si="3"/>
        <v>928</v>
      </c>
      <c r="H28" s="2">
        <f t="shared" si="0"/>
        <v>318</v>
      </c>
      <c r="I28" s="2">
        <f t="shared" si="4"/>
        <v>46.333984375</v>
      </c>
    </row>
    <row r="29" spans="1:9" x14ac:dyDescent="0.2">
      <c r="A29" s="2">
        <v>230</v>
      </c>
      <c r="B29" s="4">
        <f t="shared" si="1"/>
        <v>0.90196078431372551</v>
      </c>
      <c r="C29" s="6">
        <f>$L$7*B29/((1+$L$7)-B29)</f>
        <v>0.30463576158940397</v>
      </c>
      <c r="D29" s="3">
        <f>C29*(1-$L$6) + $L$6</f>
        <v>0.35938885122803355</v>
      </c>
      <c r="E29" s="16">
        <f>E28-E28*$L$5</f>
        <v>0.4669747052543719</v>
      </c>
      <c r="F29" s="2">
        <f t="shared" si="2"/>
        <v>46</v>
      </c>
      <c r="G29" s="2">
        <f t="shared" si="3"/>
        <v>924</v>
      </c>
      <c r="H29" s="2">
        <f t="shared" si="0"/>
        <v>308</v>
      </c>
      <c r="I29" s="2">
        <f t="shared" si="4"/>
        <v>45.19140625</v>
      </c>
    </row>
    <row r="30" spans="1:9" x14ac:dyDescent="0.2">
      <c r="A30" s="2">
        <v>229</v>
      </c>
      <c r="B30" s="4">
        <f t="shared" si="1"/>
        <v>0.89803921568627454</v>
      </c>
      <c r="C30" s="6">
        <f>$L$7*B30/((1+$L$7)-B30)</f>
        <v>0.29548387096774192</v>
      </c>
      <c r="D30" s="3">
        <f>C30*(1-$L$6) + $L$6</f>
        <v>0.3509575819151638</v>
      </c>
      <c r="E30" s="16">
        <f>E29-E29*$L$5</f>
        <v>0.45296546409674077</v>
      </c>
      <c r="F30" s="2">
        <f t="shared" si="2"/>
        <v>45</v>
      </c>
      <c r="G30" s="2">
        <f t="shared" si="3"/>
        <v>920</v>
      </c>
      <c r="H30" s="2">
        <f t="shared" si="0"/>
        <v>299</v>
      </c>
      <c r="I30" s="2">
        <f t="shared" si="4"/>
        <v>44.1630859375</v>
      </c>
    </row>
    <row r="31" spans="1:9" x14ac:dyDescent="0.2">
      <c r="A31" s="2">
        <v>228</v>
      </c>
      <c r="B31" s="4">
        <f t="shared" si="1"/>
        <v>0.89411764705882357</v>
      </c>
      <c r="C31" s="6">
        <f>$L$7*B31/((1+$L$7)-B31)</f>
        <v>0.28679245283018867</v>
      </c>
      <c r="D31" s="3">
        <f>C31*(1-$L$6) + $L$6</f>
        <v>0.34295052741048881</v>
      </c>
      <c r="E31" s="16">
        <f>E30-E30*$L$5</f>
        <v>0.43937650017383856</v>
      </c>
      <c r="F31" s="2">
        <f t="shared" si="2"/>
        <v>44</v>
      </c>
      <c r="G31" s="2">
        <f t="shared" si="3"/>
        <v>916</v>
      </c>
      <c r="H31" s="2">
        <f t="shared" si="0"/>
        <v>290</v>
      </c>
      <c r="I31" s="2">
        <f t="shared" si="4"/>
        <v>43.134765625</v>
      </c>
    </row>
    <row r="32" spans="1:9" x14ac:dyDescent="0.2">
      <c r="A32" s="2">
        <v>227</v>
      </c>
      <c r="B32" s="4">
        <f t="shared" si="1"/>
        <v>0.8901960784313725</v>
      </c>
      <c r="C32" s="6">
        <f>$L$7*B32/((1+$L$7)-B32)</f>
        <v>0.27852760736196303</v>
      </c>
      <c r="D32" s="3">
        <f>C32*(1-$L$6) + $L$6</f>
        <v>0.33533645717598171</v>
      </c>
      <c r="E32" s="16">
        <f>E31-E31*$L$5</f>
        <v>0.42619520516862341</v>
      </c>
      <c r="F32" s="2">
        <f t="shared" si="2"/>
        <v>43</v>
      </c>
      <c r="G32" s="2">
        <f t="shared" si="3"/>
        <v>912</v>
      </c>
      <c r="H32" s="2">
        <f t="shared" si="0"/>
        <v>281</v>
      </c>
      <c r="I32" s="2">
        <f t="shared" si="4"/>
        <v>42.1064453125</v>
      </c>
    </row>
    <row r="33" spans="1:9" x14ac:dyDescent="0.2">
      <c r="A33" s="2">
        <v>226</v>
      </c>
      <c r="B33" s="4">
        <f t="shared" si="1"/>
        <v>0.88627450980392153</v>
      </c>
      <c r="C33" s="6">
        <f>$L$7*B33/((1+$L$7)-B33)</f>
        <v>0.27065868263473036</v>
      </c>
      <c r="D33" s="3">
        <f>C33*(1-$L$6) + $L$6</f>
        <v>0.32808713282097207</v>
      </c>
      <c r="E33" s="16">
        <f>E32-E32*$L$5</f>
        <v>0.41340934901356469</v>
      </c>
      <c r="F33" s="2">
        <f t="shared" si="2"/>
        <v>42</v>
      </c>
      <c r="G33" s="2">
        <f t="shared" si="3"/>
        <v>908</v>
      </c>
      <c r="H33" s="2">
        <f t="shared" si="0"/>
        <v>273</v>
      </c>
      <c r="I33" s="2">
        <f t="shared" si="4"/>
        <v>41.1923828125</v>
      </c>
    </row>
    <row r="34" spans="1:9" x14ac:dyDescent="0.2">
      <c r="A34" s="2">
        <v>225</v>
      </c>
      <c r="B34" s="4">
        <f t="shared" si="1"/>
        <v>0.88235294117647056</v>
      </c>
      <c r="C34" s="6">
        <f>$L$7*B34/((1+$L$7)-B34)</f>
        <v>0.26315789473684204</v>
      </c>
      <c r="D34" s="3">
        <f>C34*(1-$L$6) + $L$6</f>
        <v>0.32117695814338992</v>
      </c>
      <c r="E34" s="16">
        <f>E33-E33*$L$5</f>
        <v>0.40100706854315776</v>
      </c>
      <c r="F34" s="2">
        <f t="shared" si="2"/>
        <v>41</v>
      </c>
      <c r="G34" s="2">
        <f t="shared" si="3"/>
        <v>904</v>
      </c>
      <c r="H34" s="2">
        <f t="shared" si="0"/>
        <v>266</v>
      </c>
      <c r="I34" s="2">
        <f t="shared" si="4"/>
        <v>40.392578125</v>
      </c>
    </row>
    <row r="35" spans="1:9" x14ac:dyDescent="0.2">
      <c r="A35" s="2">
        <v>224</v>
      </c>
      <c r="B35" s="4">
        <f t="shared" si="1"/>
        <v>0.8784313725490196</v>
      </c>
      <c r="C35" s="6">
        <f>$L$7*B35/((1+$L$7)-B35)</f>
        <v>0.25599999999999989</v>
      </c>
      <c r="D35" s="3">
        <f>C35*(1-$L$6) + $L$6</f>
        <v>0.31458267716535426</v>
      </c>
      <c r="E35" s="16">
        <f>E34-E34*$L$5</f>
        <v>0.38897685648686303</v>
      </c>
      <c r="F35" s="2">
        <f t="shared" si="2"/>
        <v>40</v>
      </c>
      <c r="G35" s="2">
        <f t="shared" si="3"/>
        <v>900</v>
      </c>
      <c r="H35" s="2">
        <f t="shared" si="0"/>
        <v>259</v>
      </c>
      <c r="I35" s="2">
        <f t="shared" si="4"/>
        <v>39.5927734375</v>
      </c>
    </row>
    <row r="36" spans="1:9" x14ac:dyDescent="0.2">
      <c r="A36" s="2">
        <v>223</v>
      </c>
      <c r="B36" s="4">
        <f t="shared" si="1"/>
        <v>0.87450980392156863</v>
      </c>
      <c r="C36" s="6">
        <f>$L$7*B36/((1+$L$7)-B36)</f>
        <v>0.24916201117318432</v>
      </c>
      <c r="D36" s="3">
        <f>C36*(1-$L$6) + $L$6</f>
        <v>0.30828311265561076</v>
      </c>
      <c r="E36" s="16">
        <f>E35-E35*$L$5</f>
        <v>0.37730755079225714</v>
      </c>
      <c r="F36" s="2">
        <f t="shared" si="2"/>
        <v>39</v>
      </c>
      <c r="G36" s="2">
        <f t="shared" si="3"/>
        <v>895</v>
      </c>
      <c r="H36" s="2">
        <f t="shared" si="0"/>
        <v>250</v>
      </c>
      <c r="I36" s="2">
        <f t="shared" si="4"/>
        <v>38.564453125</v>
      </c>
    </row>
    <row r="37" spans="1:9" x14ac:dyDescent="0.2">
      <c r="A37" s="2">
        <v>222</v>
      </c>
      <c r="B37" s="4">
        <f t="shared" si="1"/>
        <v>0.87058823529411766</v>
      </c>
      <c r="C37" s="6">
        <f>$L$7*B37/((1+$L$7)-B37)</f>
        <v>0.24262295081967211</v>
      </c>
      <c r="D37" s="3">
        <f>C37*(1-$L$6) + $L$6</f>
        <v>0.30225893894410738</v>
      </c>
      <c r="E37" s="16">
        <f>E36-E36*$L$5</f>
        <v>0.36598832426848943</v>
      </c>
      <c r="F37" s="2">
        <f t="shared" si="2"/>
        <v>38</v>
      </c>
      <c r="G37" s="2">
        <f t="shared" si="3"/>
        <v>891</v>
      </c>
      <c r="H37" s="2">
        <f t="shared" si="0"/>
        <v>243</v>
      </c>
      <c r="I37" s="2">
        <f t="shared" si="4"/>
        <v>37.7646484375</v>
      </c>
    </row>
    <row r="38" spans="1:9" x14ac:dyDescent="0.2">
      <c r="A38" s="2">
        <v>221</v>
      </c>
      <c r="B38" s="4">
        <f t="shared" si="1"/>
        <v>0.8666666666666667</v>
      </c>
      <c r="C38" s="6">
        <f>$L$7*B38/((1+$L$7)-B38)</f>
        <v>0.23636363636363636</v>
      </c>
      <c r="D38" s="3">
        <f>C38*(1-$L$6) + $L$6</f>
        <v>0.29649248389405869</v>
      </c>
      <c r="E38" s="16">
        <f>E37-E37*$L$5</f>
        <v>0.35500867454043472</v>
      </c>
      <c r="F38" s="2">
        <f t="shared" si="2"/>
        <v>38</v>
      </c>
      <c r="G38" s="2">
        <f t="shared" si="3"/>
        <v>887</v>
      </c>
      <c r="H38" s="2">
        <f t="shared" si="0"/>
        <v>237</v>
      </c>
      <c r="I38" s="2">
        <f t="shared" si="4"/>
        <v>37.0791015625</v>
      </c>
    </row>
    <row r="39" spans="1:9" x14ac:dyDescent="0.2">
      <c r="A39" s="2">
        <v>220</v>
      </c>
      <c r="B39" s="4">
        <f t="shared" si="1"/>
        <v>0.86274509803921573</v>
      </c>
      <c r="C39" s="6">
        <f>$L$7*B39/((1+$L$7)-B39)</f>
        <v>0.23036649214659688</v>
      </c>
      <c r="D39" s="3">
        <f>C39*(1-$L$6) + $L$6</f>
        <v>0.29096755575710109</v>
      </c>
      <c r="E39" s="16">
        <f>E38-E38*$L$5</f>
        <v>0.3443584143042217</v>
      </c>
      <c r="F39" s="2">
        <f t="shared" si="2"/>
        <v>37</v>
      </c>
      <c r="G39" s="2">
        <f t="shared" si="3"/>
        <v>883</v>
      </c>
      <c r="H39" s="2">
        <f t="shared" si="0"/>
        <v>231</v>
      </c>
      <c r="I39" s="2">
        <f t="shared" si="4"/>
        <v>36.3935546875</v>
      </c>
    </row>
    <row r="40" spans="1:9" x14ac:dyDescent="0.2">
      <c r="A40" s="2">
        <v>219</v>
      </c>
      <c r="B40" s="4">
        <f t="shared" si="1"/>
        <v>0.85882352941176465</v>
      </c>
      <c r="C40" s="6">
        <f>$L$7*B40/((1+$L$7)-B40)</f>
        <v>0.22461538461538449</v>
      </c>
      <c r="D40" s="3">
        <f>C40*(1-$L$6) + $L$6</f>
        <v>0.28566929133858254</v>
      </c>
      <c r="E40" s="16">
        <f>E39-E39*$L$5</f>
        <v>0.33402766187509503</v>
      </c>
      <c r="F40" s="2">
        <f t="shared" si="2"/>
        <v>36</v>
      </c>
      <c r="G40" s="2">
        <f t="shared" si="3"/>
        <v>879</v>
      </c>
      <c r="H40" s="2">
        <f t="shared" si="0"/>
        <v>225</v>
      </c>
      <c r="I40" s="2">
        <f t="shared" si="4"/>
        <v>35.7080078125</v>
      </c>
    </row>
    <row r="41" spans="1:9" x14ac:dyDescent="0.2">
      <c r="A41" s="2">
        <v>218</v>
      </c>
      <c r="B41" s="4">
        <f t="shared" si="1"/>
        <v>0.85490196078431369</v>
      </c>
      <c r="C41" s="6">
        <f>$L$7*B41/((1+$L$7)-B41)</f>
        <v>0.21909547738693458</v>
      </c>
      <c r="D41" s="3">
        <f>C41*(1-$L$6) + $L$6</f>
        <v>0.28058402247457753</v>
      </c>
      <c r="E41" s="16">
        <f>E40-E40*$L$5</f>
        <v>0.32400683201884217</v>
      </c>
      <c r="F41" s="2">
        <f t="shared" si="2"/>
        <v>36</v>
      </c>
      <c r="G41" s="2">
        <f t="shared" si="3"/>
        <v>875</v>
      </c>
      <c r="H41" s="2">
        <f t="shared" si="0"/>
        <v>220</v>
      </c>
      <c r="I41" s="2">
        <f t="shared" si="4"/>
        <v>35.13671875</v>
      </c>
    </row>
    <row r="42" spans="1:9" x14ac:dyDescent="0.2">
      <c r="A42" s="2">
        <v>217</v>
      </c>
      <c r="B42" s="4">
        <f t="shared" si="1"/>
        <v>0.85098039215686272</v>
      </c>
      <c r="C42" s="6">
        <f>$L$7*B42/((1+$L$7)-B42)</f>
        <v>0.21379310344827579</v>
      </c>
      <c r="D42" s="3">
        <f>C42*(1-$L$6) + $L$6</f>
        <v>0.27569915829486824</v>
      </c>
      <c r="E42" s="16">
        <f>E41-E41*$L$5</f>
        <v>0.31428662705827692</v>
      </c>
      <c r="F42" s="2">
        <f t="shared" si="2"/>
        <v>35</v>
      </c>
      <c r="G42" s="2">
        <f t="shared" si="3"/>
        <v>871</v>
      </c>
      <c r="H42" s="2">
        <f t="shared" si="0"/>
        <v>215</v>
      </c>
      <c r="I42" s="2">
        <f t="shared" si="4"/>
        <v>34.5654296875</v>
      </c>
    </row>
    <row r="43" spans="1:9" x14ac:dyDescent="0.2">
      <c r="A43" s="2">
        <v>216</v>
      </c>
      <c r="B43" s="4">
        <f t="shared" si="1"/>
        <v>0.84705882352941175</v>
      </c>
      <c r="C43" s="6">
        <f>$L$7*B43/((1+$L$7)-B43)</f>
        <v>0.208695652173913</v>
      </c>
      <c r="D43" s="3">
        <f>C43*(1-$L$6) + $L$6</f>
        <v>0.27100308113659699</v>
      </c>
      <c r="E43" s="16">
        <f>E42-E42*$L$5</f>
        <v>0.30485802824652863</v>
      </c>
      <c r="F43" s="2">
        <f t="shared" si="2"/>
        <v>34</v>
      </c>
      <c r="G43" s="2">
        <f t="shared" si="3"/>
        <v>867</v>
      </c>
      <c r="H43" s="2">
        <f t="shared" si="0"/>
        <v>209</v>
      </c>
      <c r="I43" s="2">
        <f t="shared" si="4"/>
        <v>33.8798828125</v>
      </c>
    </row>
    <row r="44" spans="1:9" x14ac:dyDescent="0.2">
      <c r="A44" s="2">
        <v>215</v>
      </c>
      <c r="B44" s="4">
        <f t="shared" si="1"/>
        <v>0.84313725490196079</v>
      </c>
      <c r="C44" s="6">
        <f>$L$7*B44/((1+$L$7)-B44)</f>
        <v>0.20379146919431276</v>
      </c>
      <c r="D44" s="3">
        <f>C44*(1-$L$6) + $L$6</f>
        <v>0.26648505429712277</v>
      </c>
      <c r="E44" s="16">
        <f>E43-E43*$L$5</f>
        <v>0.2957122873991328</v>
      </c>
      <c r="F44" s="2">
        <f t="shared" si="2"/>
        <v>34</v>
      </c>
      <c r="G44" s="2">
        <f t="shared" si="3"/>
        <v>863</v>
      </c>
      <c r="H44" s="2">
        <f t="shared" si="0"/>
        <v>205</v>
      </c>
      <c r="I44" s="2">
        <f t="shared" si="4"/>
        <v>33.4228515625</v>
      </c>
    </row>
    <row r="45" spans="1:9" x14ac:dyDescent="0.2">
      <c r="A45" s="2">
        <v>214</v>
      </c>
      <c r="B45" s="4">
        <f t="shared" si="1"/>
        <v>0.83921568627450982</v>
      </c>
      <c r="C45" s="6">
        <f>$L$7*B45/((1+$L$7)-B45)</f>
        <v>0.19906976744186045</v>
      </c>
      <c r="D45" s="3">
        <f>C45*(1-$L$6) + $L$6</f>
        <v>0.26213514008423366</v>
      </c>
      <c r="E45" s="16">
        <f>E44-E44*$L$5</f>
        <v>0.28684091877715884</v>
      </c>
      <c r="F45" s="2">
        <f t="shared" si="2"/>
        <v>33</v>
      </c>
      <c r="G45" s="2">
        <f t="shared" si="3"/>
        <v>859</v>
      </c>
      <c r="H45" s="2">
        <f t="shared" si="0"/>
        <v>200</v>
      </c>
      <c r="I45" s="2">
        <f t="shared" si="4"/>
        <v>32.8515625</v>
      </c>
    </row>
    <row r="46" spans="1:9" x14ac:dyDescent="0.2">
      <c r="A46" s="2">
        <v>213</v>
      </c>
      <c r="B46" s="4">
        <f t="shared" si="1"/>
        <v>0.83529411764705885</v>
      </c>
      <c r="C46" s="6">
        <f>$L$7*B46/((1+$L$7)-B46)</f>
        <v>0.19452054794520549</v>
      </c>
      <c r="D46" s="3">
        <f>C46*(1-$L$6) + $L$6</f>
        <v>0.25794412684715784</v>
      </c>
      <c r="E46" s="16">
        <f>E45-E45*$L$5</f>
        <v>0.27823569121384406</v>
      </c>
      <c r="F46" s="2">
        <f t="shared" si="2"/>
        <v>33</v>
      </c>
      <c r="G46" s="2">
        <f t="shared" si="3"/>
        <v>855</v>
      </c>
      <c r="H46" s="2">
        <f t="shared" si="0"/>
        <v>195</v>
      </c>
      <c r="I46" s="2">
        <f t="shared" si="4"/>
        <v>32.2802734375</v>
      </c>
    </row>
    <row r="47" spans="1:9" x14ac:dyDescent="0.2">
      <c r="A47" s="2">
        <v>212</v>
      </c>
      <c r="B47" s="4">
        <f t="shared" si="1"/>
        <v>0.83137254901960789</v>
      </c>
      <c r="C47" s="6">
        <f>$L$7*B47/((1+$L$7)-B47)</f>
        <v>0.19013452914798207</v>
      </c>
      <c r="D47" s="3">
        <f>C47*(1-$L$6) + $L$6</f>
        <v>0.25390346386073936</v>
      </c>
      <c r="E47" s="16">
        <f>E46-E46*$L$5</f>
        <v>0.26988862047742873</v>
      </c>
      <c r="F47" s="2">
        <f t="shared" si="2"/>
        <v>32</v>
      </c>
      <c r="G47" s="2">
        <f t="shared" si="3"/>
        <v>851</v>
      </c>
      <c r="H47" s="2">
        <f t="shared" si="0"/>
        <v>191</v>
      </c>
      <c r="I47" s="2">
        <f t="shared" si="4"/>
        <v>31.8232421875</v>
      </c>
    </row>
    <row r="48" spans="1:9" x14ac:dyDescent="0.2">
      <c r="A48" s="2">
        <v>211</v>
      </c>
      <c r="B48" s="4">
        <f t="shared" si="1"/>
        <v>0.82745098039215681</v>
      </c>
      <c r="C48" s="6">
        <f>$L$7*B48/((1+$L$7)-B48)</f>
        <v>0.18590308370044045</v>
      </c>
      <c r="D48" s="3">
        <f>C48*(1-$L$6) + $L$6</f>
        <v>0.25000520309410657</v>
      </c>
      <c r="E48" s="16">
        <f>E47-E47*$L$5</f>
        <v>0.26179196186310588</v>
      </c>
      <c r="F48" s="2">
        <f t="shared" si="2"/>
        <v>32</v>
      </c>
      <c r="G48" s="2">
        <f t="shared" si="3"/>
        <v>847</v>
      </c>
      <c r="H48" s="2">
        <f t="shared" si="0"/>
        <v>187</v>
      </c>
      <c r="I48" s="2">
        <f t="shared" si="4"/>
        <v>31.3662109375</v>
      </c>
    </row>
    <row r="49" spans="1:9" x14ac:dyDescent="0.2">
      <c r="A49" s="2">
        <v>210</v>
      </c>
      <c r="B49" s="4">
        <f t="shared" si="1"/>
        <v>0.82352941176470584</v>
      </c>
      <c r="C49" s="6">
        <f>$L$7*B49/((1+$L$7)-B49)</f>
        <v>0.18181818181818174</v>
      </c>
      <c r="D49" s="3">
        <f>C49*(1-$L$6) + $L$6</f>
        <v>0.24624194702934854</v>
      </c>
      <c r="E49" s="16">
        <f>E48-E48*$L$5</f>
        <v>0.2539382030072127</v>
      </c>
      <c r="F49" s="2">
        <f t="shared" si="2"/>
        <v>31</v>
      </c>
      <c r="G49" s="2">
        <f t="shared" si="3"/>
        <v>843</v>
      </c>
      <c r="H49" s="2">
        <f t="shared" si="0"/>
        <v>182</v>
      </c>
      <c r="I49" s="2">
        <f t="shared" si="4"/>
        <v>30.794921875</v>
      </c>
    </row>
    <row r="50" spans="1:9" x14ac:dyDescent="0.2">
      <c r="A50" s="2">
        <v>209</v>
      </c>
      <c r="B50" s="4">
        <f t="shared" si="1"/>
        <v>0.81960784313725488</v>
      </c>
      <c r="C50" s="6">
        <f>$L$7*B50/((1+$L$7)-B50)</f>
        <v>0.17787234042553188</v>
      </c>
      <c r="D50" s="3">
        <f>C50*(1-$L$6) + $L$6</f>
        <v>0.24260680180934827</v>
      </c>
      <c r="E50" s="16">
        <f>E49-E49*$L$5</f>
        <v>0.24632005691699632</v>
      </c>
      <c r="F50" s="2">
        <f t="shared" si="2"/>
        <v>31</v>
      </c>
      <c r="G50" s="2">
        <f t="shared" si="3"/>
        <v>839</v>
      </c>
      <c r="H50" s="2">
        <f t="shared" si="0"/>
        <v>179</v>
      </c>
      <c r="I50" s="2">
        <f t="shared" si="4"/>
        <v>30.4521484375</v>
      </c>
    </row>
    <row r="51" spans="1:9" x14ac:dyDescent="0.2">
      <c r="A51" s="2">
        <v>208</v>
      </c>
      <c r="B51" s="4">
        <f t="shared" si="1"/>
        <v>0.81568627450980391</v>
      </c>
      <c r="C51" s="6">
        <f>$L$7*B51/((1+$L$7)-B51)</f>
        <v>0.1740585774058577</v>
      </c>
      <c r="D51" s="3">
        <f>C51*(1-$L$6) + $L$6</f>
        <v>0.23909333509043584</v>
      </c>
      <c r="E51" s="16">
        <f>E50-E50*$L$5</f>
        <v>0.23893045520948644</v>
      </c>
      <c r="F51" s="2">
        <f t="shared" si="2"/>
        <v>30</v>
      </c>
      <c r="G51" s="2">
        <f t="shared" si="3"/>
        <v>835</v>
      </c>
      <c r="H51" s="2">
        <f t="shared" si="0"/>
        <v>175</v>
      </c>
      <c r="I51" s="2">
        <f t="shared" si="4"/>
        <v>29.9951171875</v>
      </c>
    </row>
    <row r="52" spans="1:9" x14ac:dyDescent="0.2">
      <c r="A52" s="2">
        <v>207</v>
      </c>
      <c r="B52" s="4">
        <f t="shared" si="1"/>
        <v>0.81176470588235294</v>
      </c>
      <c r="C52" s="6">
        <f>$L$7*B52/((1+$L$7)-B52)</f>
        <v>0.17037037037037034</v>
      </c>
      <c r="D52" s="3">
        <f>C52*(1-$L$6) + $L$6</f>
        <v>0.23569553805774277</v>
      </c>
      <c r="E52" s="16">
        <f>E51-E51*$L$5</f>
        <v>0.23176254155320186</v>
      </c>
      <c r="F52" s="2">
        <f t="shared" si="2"/>
        <v>30</v>
      </c>
      <c r="G52" s="2">
        <f t="shared" si="3"/>
        <v>831</v>
      </c>
      <c r="H52" s="2">
        <f t="shared" si="0"/>
        <v>171</v>
      </c>
      <c r="I52" s="2">
        <f t="shared" si="4"/>
        <v>29.5380859375</v>
      </c>
    </row>
    <row r="53" spans="1:9" x14ac:dyDescent="0.2">
      <c r="A53" s="2">
        <v>206</v>
      </c>
      <c r="B53" s="4">
        <f t="shared" si="1"/>
        <v>0.80784313725490198</v>
      </c>
      <c r="C53" s="6">
        <f>$L$7*B53/((1+$L$7)-B53)</f>
        <v>0.16680161943319838</v>
      </c>
      <c r="D53" s="3">
        <f>C53*(1-$L$6) + $L$6</f>
        <v>0.23240779113137175</v>
      </c>
      <c r="E53" s="16">
        <f>E52-E52*$L$5</f>
        <v>0.22480966530660582</v>
      </c>
      <c r="F53" s="2">
        <f t="shared" si="2"/>
        <v>30</v>
      </c>
      <c r="G53" s="2">
        <f t="shared" si="3"/>
        <v>827</v>
      </c>
      <c r="H53" s="2">
        <f t="shared" si="0"/>
        <v>167</v>
      </c>
      <c r="I53" s="2">
        <f t="shared" si="4"/>
        <v>29.0810546875</v>
      </c>
    </row>
    <row r="54" spans="1:9" x14ac:dyDescent="0.2">
      <c r="A54" s="2">
        <v>205</v>
      </c>
      <c r="B54" s="4">
        <f t="shared" si="1"/>
        <v>0.80392156862745101</v>
      </c>
      <c r="C54" s="6">
        <f>$L$7*B54/((1+$L$7)-B54)</f>
        <v>0.16334661354581673</v>
      </c>
      <c r="D54" s="3">
        <f>C54*(1-$L$6) + $L$6</f>
        <v>0.22922483295165794</v>
      </c>
      <c r="E54" s="16">
        <f>E53-E53*$L$5</f>
        <v>0.21806537534740764</v>
      </c>
      <c r="F54" s="2">
        <f t="shared" si="2"/>
        <v>29</v>
      </c>
      <c r="G54" s="2">
        <f t="shared" si="3"/>
        <v>823</v>
      </c>
      <c r="H54" s="2">
        <f t="shared" si="0"/>
        <v>164</v>
      </c>
      <c r="I54" s="2">
        <f t="shared" si="4"/>
        <v>28.73828125</v>
      </c>
    </row>
    <row r="55" spans="1:9" x14ac:dyDescent="0.2">
      <c r="A55" s="2">
        <v>204</v>
      </c>
      <c r="B55" s="4">
        <f t="shared" si="1"/>
        <v>0.8</v>
      </c>
      <c r="C55" s="6">
        <f>$L$7*B55/((1+$L$7)-B55)</f>
        <v>0.16000000000000003</v>
      </c>
      <c r="D55" s="3">
        <f>C55*(1-$L$6) + $L$6</f>
        <v>0.2261417322834646</v>
      </c>
      <c r="E55" s="16">
        <f>E54-E54*$L$5</f>
        <v>0.21152341408698541</v>
      </c>
      <c r="F55" s="2">
        <f t="shared" si="2"/>
        <v>29</v>
      </c>
      <c r="G55" s="2">
        <f t="shared" si="3"/>
        <v>819</v>
      </c>
      <c r="H55" s="2">
        <f t="shared" si="0"/>
        <v>161</v>
      </c>
      <c r="I55" s="2">
        <f t="shared" si="4"/>
        <v>28.3955078125</v>
      </c>
    </row>
    <row r="56" spans="1:9" x14ac:dyDescent="0.2">
      <c r="A56" s="2">
        <v>203</v>
      </c>
      <c r="B56" s="4">
        <f t="shared" si="1"/>
        <v>0.79607843137254897</v>
      </c>
      <c r="C56" s="6">
        <f>$L$7*B56/((1+$L$7)-B56)</f>
        <v>0.15675675675675668</v>
      </c>
      <c r="D56" s="3">
        <f>C56*(1-$L$6) + $L$6</f>
        <v>0.2231538625239412</v>
      </c>
      <c r="E56" s="16">
        <f>E55-E55*$L$5</f>
        <v>0.20517771166437584</v>
      </c>
      <c r="F56" s="2">
        <f t="shared" si="2"/>
        <v>28</v>
      </c>
      <c r="G56" s="2">
        <f t="shared" si="3"/>
        <v>815</v>
      </c>
      <c r="H56" s="2">
        <f t="shared" si="0"/>
        <v>157</v>
      </c>
      <c r="I56" s="2">
        <f t="shared" si="4"/>
        <v>27.9384765625</v>
      </c>
    </row>
    <row r="57" spans="1:9" x14ac:dyDescent="0.2">
      <c r="A57" s="2">
        <v>202</v>
      </c>
      <c r="B57" s="4">
        <f t="shared" si="1"/>
        <v>0.792156862745098</v>
      </c>
      <c r="C57" s="6">
        <f>$L$7*B57/((1+$L$7)-B57)</f>
        <v>0.15361216730038019</v>
      </c>
      <c r="D57" s="3">
        <f>C57*(1-$L$6) + $L$6</f>
        <v>0.22025687853657072</v>
      </c>
      <c r="E57" s="16">
        <f>E56-E56*$L$5</f>
        <v>0.19902238031444458</v>
      </c>
      <c r="F57" s="2">
        <f t="shared" si="2"/>
        <v>28</v>
      </c>
      <c r="G57" s="2">
        <f t="shared" si="3"/>
        <v>811</v>
      </c>
      <c r="H57" s="2">
        <f t="shared" si="0"/>
        <v>154</v>
      </c>
      <c r="I57" s="2">
        <f t="shared" si="4"/>
        <v>27.595703125</v>
      </c>
    </row>
    <row r="58" spans="1:9" x14ac:dyDescent="0.2">
      <c r="A58" s="2">
        <v>201</v>
      </c>
      <c r="B58" s="4">
        <f t="shared" si="1"/>
        <v>0.78823529411764703</v>
      </c>
      <c r="C58" s="6">
        <f>$L$7*B58/((1+$L$7)-B58)</f>
        <v>0.15056179775280895</v>
      </c>
      <c r="D58" s="3">
        <f>C58*(1-$L$6) + $L$6</f>
        <v>0.21744669556754842</v>
      </c>
      <c r="E58" s="16">
        <f>E57-E57*$L$5</f>
        <v>0.19305170890501125</v>
      </c>
      <c r="F58" s="2">
        <f t="shared" si="2"/>
        <v>28</v>
      </c>
      <c r="G58" s="2">
        <f t="shared" si="3"/>
        <v>807</v>
      </c>
      <c r="H58" s="2">
        <f t="shared" si="0"/>
        <v>151</v>
      </c>
      <c r="I58" s="2">
        <f t="shared" si="4"/>
        <v>27.2529296875</v>
      </c>
    </row>
    <row r="59" spans="1:9" x14ac:dyDescent="0.2">
      <c r="A59" s="2">
        <v>200</v>
      </c>
      <c r="B59" s="4">
        <f t="shared" si="1"/>
        <v>0.78431372549019607</v>
      </c>
      <c r="C59" s="6">
        <f>$L$7*B59/((1+$L$7)-B59)</f>
        <v>0.14760147601476012</v>
      </c>
      <c r="D59" s="3">
        <f>C59*(1-$L$6) + $L$6</f>
        <v>0.21471947002934594</v>
      </c>
      <c r="E59" s="16">
        <f>E58-E58*$L$5</f>
        <v>0.18726015763786091</v>
      </c>
      <c r="F59" s="2">
        <f t="shared" si="2"/>
        <v>27</v>
      </c>
      <c r="G59" s="2">
        <f t="shared" si="3"/>
        <v>803</v>
      </c>
      <c r="H59" s="2">
        <f t="shared" si="0"/>
        <v>148</v>
      </c>
      <c r="I59" s="2">
        <f t="shared" si="4"/>
        <v>26.91015625</v>
      </c>
    </row>
    <row r="60" spans="1:9" x14ac:dyDescent="0.2">
      <c r="A60" s="2">
        <v>199</v>
      </c>
      <c r="B60" s="4">
        <f t="shared" si="1"/>
        <v>0.7803921568627451</v>
      </c>
      <c r="C60" s="6">
        <f>$L$7*B60/((1+$L$7)-B60)</f>
        <v>0.14472727272727273</v>
      </c>
      <c r="D60" s="3">
        <f>C60*(1-$L$6) + $L$6</f>
        <v>0.21207158196134576</v>
      </c>
      <c r="E60" s="16">
        <f>E59-E59*$L$5</f>
        <v>0.18164235290872507</v>
      </c>
      <c r="F60" s="2">
        <f t="shared" si="2"/>
        <v>27</v>
      </c>
      <c r="G60" s="2">
        <f t="shared" si="3"/>
        <v>799</v>
      </c>
      <c r="H60" s="2">
        <f t="shared" si="0"/>
        <v>145</v>
      </c>
      <c r="I60" s="2">
        <f t="shared" si="4"/>
        <v>26.5673828125</v>
      </c>
    </row>
    <row r="61" spans="1:9" x14ac:dyDescent="0.2">
      <c r="A61" s="2">
        <v>198</v>
      </c>
      <c r="B61" s="4">
        <f t="shared" si="1"/>
        <v>0.77647058823529413</v>
      </c>
      <c r="C61" s="6">
        <f>$L$7*B61/((1+$L$7)-B61)</f>
        <v>0.14193548387096774</v>
      </c>
      <c r="D61" s="3">
        <f>C61*(1-$L$6) + $L$6</f>
        <v>0.209499618999238</v>
      </c>
      <c r="E61" s="16">
        <f>E60-E60*$L$5</f>
        <v>0.17619308232146333</v>
      </c>
      <c r="F61" s="2">
        <f t="shared" si="2"/>
        <v>27</v>
      </c>
      <c r="G61" s="2">
        <f t="shared" si="3"/>
        <v>795</v>
      </c>
      <c r="H61" s="2">
        <f t="shared" si="0"/>
        <v>142</v>
      </c>
      <c r="I61" s="2">
        <f t="shared" si="4"/>
        <v>26.224609375</v>
      </c>
    </row>
    <row r="62" spans="1:9" x14ac:dyDescent="0.2">
      <c r="A62" s="2">
        <v>197</v>
      </c>
      <c r="B62" s="4">
        <f t="shared" si="1"/>
        <v>0.77254901960784317</v>
      </c>
      <c r="C62" s="6">
        <f>$L$7*B62/((1+$L$7)-B62)</f>
        <v>0.13922261484098941</v>
      </c>
      <c r="D62" s="3">
        <f>C62*(1-$L$6) + $L$6</f>
        <v>0.20700036170390362</v>
      </c>
      <c r="E62" s="16">
        <f>E61-E61*$L$5</f>
        <v>0.17090728985181944</v>
      </c>
      <c r="F62" s="2">
        <f t="shared" si="2"/>
        <v>26</v>
      </c>
      <c r="G62" s="2">
        <f t="shared" si="3"/>
        <v>791</v>
      </c>
      <c r="H62" s="2">
        <f t="shared" si="0"/>
        <v>140</v>
      </c>
      <c r="I62" s="2">
        <f t="shared" si="4"/>
        <v>25.99609375</v>
      </c>
    </row>
    <row r="63" spans="1:9" x14ac:dyDescent="0.2">
      <c r="A63" s="2">
        <v>196</v>
      </c>
      <c r="B63" s="4">
        <f t="shared" si="1"/>
        <v>0.7686274509803922</v>
      </c>
      <c r="C63" s="6">
        <f>$L$7*B63/((1+$L$7)-B63)</f>
        <v>0.13658536585365855</v>
      </c>
      <c r="D63" s="3">
        <f>C63*(1-$L$6) + $L$6</f>
        <v>0.20457077011715</v>
      </c>
      <c r="E63" s="16">
        <f>E62-E62*$L$5</f>
        <v>0.16578007115626486</v>
      </c>
      <c r="F63" s="2">
        <f t="shared" si="2"/>
        <v>26</v>
      </c>
      <c r="G63" s="2">
        <f t="shared" si="3"/>
        <v>787</v>
      </c>
      <c r="H63" s="2">
        <f t="shared" si="0"/>
        <v>137</v>
      </c>
      <c r="I63" s="2">
        <f t="shared" si="4"/>
        <v>25.6533203125</v>
      </c>
    </row>
    <row r="64" spans="1:9" x14ac:dyDescent="0.2">
      <c r="A64" s="2">
        <v>195</v>
      </c>
      <c r="B64" s="4">
        <f t="shared" si="1"/>
        <v>0.76470588235294112</v>
      </c>
      <c r="C64" s="6">
        <f>$L$7*B64/((1+$L$7)-B64)</f>
        <v>0.134020618556701</v>
      </c>
      <c r="D64" s="3">
        <f>C64*(1-$L$6) + $L$6</f>
        <v>0.2022079714262521</v>
      </c>
      <c r="E64" s="16">
        <f>E63-E63*$L$5</f>
        <v>0.16080666902157692</v>
      </c>
      <c r="F64" s="2">
        <f t="shared" si="2"/>
        <v>26</v>
      </c>
      <c r="G64" s="2">
        <f t="shared" si="3"/>
        <v>783</v>
      </c>
      <c r="H64" s="2">
        <f t="shared" si="0"/>
        <v>135</v>
      </c>
      <c r="I64" s="2">
        <f t="shared" si="4"/>
        <v>25.4248046875</v>
      </c>
    </row>
    <row r="65" spans="1:9" x14ac:dyDescent="0.2">
      <c r="A65" s="2">
        <v>194</v>
      </c>
      <c r="B65" s="4">
        <f t="shared" si="1"/>
        <v>0.76078431372549016</v>
      </c>
      <c r="C65" s="6">
        <f>$L$7*B65/((1+$L$7)-B65)</f>
        <v>0.13152542372881351</v>
      </c>
      <c r="D65" s="3">
        <f>C65*(1-$L$6) + $L$6</f>
        <v>0.19990924863205656</v>
      </c>
      <c r="E65" s="16">
        <f>E64-E64*$L$5</f>
        <v>0.15598246895092963</v>
      </c>
      <c r="F65" s="2">
        <f t="shared" si="2"/>
        <v>25</v>
      </c>
      <c r="G65" s="2">
        <f t="shared" si="3"/>
        <v>779</v>
      </c>
      <c r="H65" s="2">
        <f t="shared" si="0"/>
        <v>132</v>
      </c>
      <c r="I65" s="2">
        <f t="shared" si="4"/>
        <v>25.08203125</v>
      </c>
    </row>
    <row r="66" spans="1:9" x14ac:dyDescent="0.2">
      <c r="A66" s="2">
        <v>193</v>
      </c>
      <c r="B66" s="4">
        <f t="shared" si="1"/>
        <v>0.75686274509803919</v>
      </c>
      <c r="C66" s="6">
        <f>$L$7*B66/((1+$L$7)-B66)</f>
        <v>0.12909698996655514</v>
      </c>
      <c r="D66" s="3">
        <f>C66*(1-$L$6) + $L$6</f>
        <v>0.1976720301266689</v>
      </c>
      <c r="E66" s="16">
        <f>E65-E65*$L$5</f>
        <v>0.15130299488240173</v>
      </c>
      <c r="F66" s="2">
        <f t="shared" si="2"/>
        <v>25</v>
      </c>
      <c r="G66" s="2">
        <f t="shared" si="3"/>
        <v>775</v>
      </c>
      <c r="H66" s="2">
        <f t="shared" si="0"/>
        <v>130</v>
      </c>
      <c r="I66" s="2">
        <f t="shared" si="4"/>
        <v>24.853515625</v>
      </c>
    </row>
    <row r="67" spans="1:9" x14ac:dyDescent="0.2">
      <c r="A67" s="2">
        <v>192</v>
      </c>
      <c r="B67" s="4">
        <f t="shared" si="1"/>
        <v>0.75294117647058822</v>
      </c>
      <c r="C67" s="6">
        <f>$L$7*B67/((1+$L$7)-B67)</f>
        <v>0.12673267326732673</v>
      </c>
      <c r="D67" s="3">
        <f>C67*(1-$L$6) + $L$6</f>
        <v>0.19549388009667107</v>
      </c>
      <c r="E67" s="16">
        <f>E66-E66*$L$5</f>
        <v>0.14676390503592968</v>
      </c>
      <c r="F67" s="2">
        <f t="shared" si="2"/>
        <v>25</v>
      </c>
      <c r="G67" s="2">
        <f t="shared" si="3"/>
        <v>771</v>
      </c>
      <c r="H67" s="2">
        <f t="shared" si="0"/>
        <v>127</v>
      </c>
      <c r="I67" s="2">
        <f t="shared" si="4"/>
        <v>24.5107421875</v>
      </c>
    </row>
    <row r="68" spans="1:9" s="4" customFormat="1" x14ac:dyDescent="0.2">
      <c r="A68" s="2">
        <v>191</v>
      </c>
      <c r="B68" s="4">
        <f t="shared" si="1"/>
        <v>0.74901960784313726</v>
      </c>
      <c r="C68" s="6">
        <f>$L$7*B68/((1+$L$7)-B68)</f>
        <v>0.12442996742671009</v>
      </c>
      <c r="D68" s="3">
        <f>C68*(1-$L$6) + $L$6</f>
        <v>0.19337248967657544</v>
      </c>
      <c r="E68" s="16">
        <f>E67-E67*$L$5</f>
        <v>0.1423609878848518</v>
      </c>
      <c r="F68" s="2">
        <f t="shared" si="2"/>
        <v>25</v>
      </c>
      <c r="G68" s="2">
        <f t="shared" si="3"/>
        <v>767</v>
      </c>
      <c r="H68" s="2">
        <f t="shared" si="0"/>
        <v>125</v>
      </c>
      <c r="I68" s="2">
        <f t="shared" si="4"/>
        <v>24.2822265625</v>
      </c>
    </row>
    <row r="69" spans="1:9" s="8" customFormat="1" x14ac:dyDescent="0.2">
      <c r="A69" s="2">
        <v>190</v>
      </c>
      <c r="B69" s="4">
        <f t="shared" ref="B69:B132" si="5">A69/255</f>
        <v>0.74509803921568629</v>
      </c>
      <c r="C69" s="6">
        <f>$L$7*B69/((1+$L$7)-B69)</f>
        <v>0.12218649517684886</v>
      </c>
      <c r="D69" s="3">
        <f>C69*(1-$L$6) + $L$6</f>
        <v>0.19130566878497102</v>
      </c>
      <c r="E69" s="16">
        <f>E68-E68*$L$5</f>
        <v>0.13809015824830626</v>
      </c>
      <c r="F69" s="2">
        <f t="shared" ref="F69:F132" si="6">ROUND(D69*127,0)</f>
        <v>24</v>
      </c>
      <c r="G69" s="2">
        <f t="shared" ref="G69:G132" si="7">ROUND(A69*$L$10/255,0)</f>
        <v>763</v>
      </c>
      <c r="H69" s="2">
        <f t="shared" ref="H69:H132" si="8">ROUND($L$8*G69/(($L$10+$L$8) - G69),0)</f>
        <v>123</v>
      </c>
      <c r="I69" s="2">
        <f t="shared" ref="I69:I132" si="9">H69*(127 - $L$3)/1024 + $L$3</f>
        <v>24.0537109375</v>
      </c>
    </row>
    <row r="70" spans="1:9" s="8" customFormat="1" x14ac:dyDescent="0.2">
      <c r="A70" s="2">
        <v>189</v>
      </c>
      <c r="B70" s="4">
        <f t="shared" si="5"/>
        <v>0.74117647058823533</v>
      </c>
      <c r="C70" s="6">
        <f>$L$7*B70/((1+$L$7)-B70)</f>
        <v>0.12000000000000001</v>
      </c>
      <c r="D70" s="3">
        <f>C70*(1-$L$6) + $L$6</f>
        <v>0.18929133858267716</v>
      </c>
      <c r="E70" s="16">
        <f>E69-E69*$L$5</f>
        <v>0.13394745350085707</v>
      </c>
      <c r="F70" s="2">
        <f t="shared" si="6"/>
        <v>24</v>
      </c>
      <c r="G70" s="2">
        <f t="shared" si="7"/>
        <v>759</v>
      </c>
      <c r="H70" s="2">
        <f t="shared" si="8"/>
        <v>120</v>
      </c>
      <c r="I70" s="2">
        <f t="shared" si="9"/>
        <v>23.7109375</v>
      </c>
    </row>
    <row r="71" spans="1:9" s="8" customFormat="1" x14ac:dyDescent="0.2">
      <c r="A71" s="2">
        <v>188</v>
      </c>
      <c r="B71" s="4">
        <f t="shared" si="5"/>
        <v>0.73725490196078436</v>
      </c>
      <c r="C71" s="6">
        <f>$L$7*B71/((1+$L$7)-B71)</f>
        <v>0.11786833855799374</v>
      </c>
      <c r="D71" s="3">
        <f>C71*(1-$L$6) + $L$6</f>
        <v>0.18732752449830919</v>
      </c>
      <c r="E71" s="16">
        <f>E70-E70*$L$5</f>
        <v>0.12992902989583135</v>
      </c>
      <c r="F71" s="2">
        <f t="shared" si="6"/>
        <v>24</v>
      </c>
      <c r="G71" s="2">
        <f t="shared" si="7"/>
        <v>755</v>
      </c>
      <c r="H71" s="2">
        <f t="shared" si="8"/>
        <v>118</v>
      </c>
      <c r="I71" s="2">
        <f t="shared" si="9"/>
        <v>23.482421875</v>
      </c>
    </row>
    <row r="72" spans="1:9" s="8" customFormat="1" x14ac:dyDescent="0.2">
      <c r="A72" s="2">
        <v>187</v>
      </c>
      <c r="B72" s="4">
        <f t="shared" si="5"/>
        <v>0.73333333333333328</v>
      </c>
      <c r="C72" s="6">
        <f>$L$7*B72/((1+$L$7)-B72)</f>
        <v>0.1157894736842105</v>
      </c>
      <c r="D72" s="3">
        <f>C72*(1-$L$6) + $L$6</f>
        <v>0.18541234977206794</v>
      </c>
      <c r="E72" s="16">
        <f>E71-E71*$L$5</f>
        <v>0.12603115899895642</v>
      </c>
      <c r="F72" s="2">
        <f t="shared" si="6"/>
        <v>24</v>
      </c>
      <c r="G72" s="2">
        <f t="shared" si="7"/>
        <v>751</v>
      </c>
      <c r="H72" s="2">
        <f t="shared" si="8"/>
        <v>116</v>
      </c>
      <c r="I72" s="2">
        <f t="shared" si="9"/>
        <v>23.25390625</v>
      </c>
    </row>
    <row r="73" spans="1:9" x14ac:dyDescent="0.2">
      <c r="A73" s="2">
        <v>186</v>
      </c>
      <c r="B73" s="4">
        <f t="shared" si="5"/>
        <v>0.72941176470588232</v>
      </c>
      <c r="C73" s="6">
        <f>$L$7*B73/((1+$L$7)-B73)</f>
        <v>0.11376146788990822</v>
      </c>
      <c r="D73" s="3">
        <f>C73*(1-$L$6) + $L$6</f>
        <v>0.18354402947338</v>
      </c>
      <c r="E73" s="16">
        <f>E72-E72*$L$5</f>
        <v>0.12225022422898774</v>
      </c>
      <c r="F73" s="2">
        <f t="shared" si="6"/>
        <v>23</v>
      </c>
      <c r="G73" s="2">
        <f t="shared" si="7"/>
        <v>747</v>
      </c>
      <c r="H73" s="2">
        <f t="shared" si="8"/>
        <v>114</v>
      </c>
      <c r="I73" s="2">
        <f t="shared" si="9"/>
        <v>23.025390625</v>
      </c>
    </row>
    <row r="74" spans="1:9" x14ac:dyDescent="0.2">
      <c r="A74" s="2">
        <v>185</v>
      </c>
      <c r="B74" s="4">
        <f t="shared" si="5"/>
        <v>0.72549019607843135</v>
      </c>
      <c r="C74" s="6">
        <f>$L$7*B74/((1+$L$7)-B74)</f>
        <v>0.11178247734138971</v>
      </c>
      <c r="D74" s="3">
        <f>C74*(1-$L$6) + $L$6</f>
        <v>0.18172086495230391</v>
      </c>
      <c r="E74" s="16">
        <f>E73-E73*$L$5</f>
        <v>0.1185827175021181</v>
      </c>
      <c r="F74" s="2">
        <f t="shared" si="6"/>
        <v>23</v>
      </c>
      <c r="G74" s="2">
        <f t="shared" si="7"/>
        <v>743</v>
      </c>
      <c r="H74" s="2">
        <f t="shared" si="8"/>
        <v>112</v>
      </c>
      <c r="I74" s="2">
        <f t="shared" si="9"/>
        <v>22.796875</v>
      </c>
    </row>
    <row r="75" spans="1:9" x14ac:dyDescent="0.2">
      <c r="A75" s="2">
        <v>184</v>
      </c>
      <c r="B75" s="4">
        <f t="shared" si="5"/>
        <v>0.72156862745098038</v>
      </c>
      <c r="C75" s="6">
        <f>$L$7*B75/((1+$L$7)-B75)</f>
        <v>0.10985074626865671</v>
      </c>
      <c r="D75" s="3">
        <f>C75*(1-$L$6) + $L$6</f>
        <v>0.17994123868844752</v>
      </c>
      <c r="E75" s="16">
        <f>E74-E74*$L$5</f>
        <v>0.11502523597705455</v>
      </c>
      <c r="F75" s="2">
        <f t="shared" si="6"/>
        <v>23</v>
      </c>
      <c r="G75" s="2">
        <f t="shared" si="7"/>
        <v>739</v>
      </c>
      <c r="H75" s="2">
        <f t="shared" si="8"/>
        <v>110</v>
      </c>
      <c r="I75" s="2">
        <f t="shared" si="9"/>
        <v>22.568359375</v>
      </c>
    </row>
    <row r="76" spans="1:9" x14ac:dyDescent="0.2">
      <c r="A76" s="2">
        <v>183</v>
      </c>
      <c r="B76" s="4">
        <f t="shared" si="5"/>
        <v>0.71764705882352942</v>
      </c>
      <c r="C76" s="6">
        <f>$L$7*B76/((1+$L$7)-B76)</f>
        <v>0.10796460176991149</v>
      </c>
      <c r="D76" s="3">
        <f>C76*(1-$L$6) + $L$6</f>
        <v>0.17820360950456413</v>
      </c>
      <c r="E76" s="16">
        <f>E75-E75*$L$5</f>
        <v>0.11157447889774291</v>
      </c>
      <c r="F76" s="2">
        <f t="shared" si="6"/>
        <v>23</v>
      </c>
      <c r="G76" s="2">
        <f t="shared" si="7"/>
        <v>735</v>
      </c>
      <c r="H76" s="2">
        <f t="shared" si="8"/>
        <v>108</v>
      </c>
      <c r="I76" s="2">
        <f t="shared" si="9"/>
        <v>22.33984375</v>
      </c>
    </row>
    <row r="77" spans="1:9" x14ac:dyDescent="0.2">
      <c r="A77" s="2">
        <v>182</v>
      </c>
      <c r="B77" s="4">
        <f t="shared" si="5"/>
        <v>0.71372549019607845</v>
      </c>
      <c r="C77" s="6">
        <f>$L$7*B77/((1+$L$7)-B77)</f>
        <v>0.10612244897959183</v>
      </c>
      <c r="D77" s="3">
        <f>C77*(1-$L$6) + $L$6</f>
        <v>0.17650650811505703</v>
      </c>
      <c r="E77" s="16">
        <f>E76-E76*$L$5</f>
        <v>0.10822724453081063</v>
      </c>
      <c r="F77" s="2">
        <f t="shared" si="6"/>
        <v>22</v>
      </c>
      <c r="G77" s="2">
        <f t="shared" si="7"/>
        <v>731</v>
      </c>
      <c r="H77" s="2">
        <f t="shared" si="8"/>
        <v>107</v>
      </c>
      <c r="I77" s="2">
        <f t="shared" si="9"/>
        <v>22.2255859375</v>
      </c>
    </row>
    <row r="78" spans="1:9" x14ac:dyDescent="0.2">
      <c r="A78" s="2">
        <v>181</v>
      </c>
      <c r="B78" s="4">
        <f t="shared" si="5"/>
        <v>0.70980392156862748</v>
      </c>
      <c r="C78" s="6">
        <f>$L$7*B78/((1+$L$7)-B78)</f>
        <v>0.10432276657060519</v>
      </c>
      <c r="D78" s="3">
        <f>C78*(1-$L$6) + $L$6</f>
        <v>0.17484853298236858</v>
      </c>
      <c r="E78" s="16">
        <f>E77-E77*$L$5</f>
        <v>0.10498042719488632</v>
      </c>
      <c r="F78" s="2">
        <f t="shared" si="6"/>
        <v>22</v>
      </c>
      <c r="G78" s="2">
        <f t="shared" si="7"/>
        <v>727</v>
      </c>
      <c r="H78" s="2">
        <f t="shared" si="8"/>
        <v>105</v>
      </c>
      <c r="I78" s="2">
        <f t="shared" si="9"/>
        <v>21.9970703125</v>
      </c>
    </row>
    <row r="79" spans="1:9" x14ac:dyDescent="0.2">
      <c r="A79" s="2">
        <v>180</v>
      </c>
      <c r="B79" s="4">
        <f t="shared" si="5"/>
        <v>0.70588235294117652</v>
      </c>
      <c r="C79" s="6">
        <f>$L$7*B79/((1+$L$7)-B79)</f>
        <v>0.10256410256410259</v>
      </c>
      <c r="D79" s="3">
        <f>C79*(1-$L$6) + $L$6</f>
        <v>0.17322834645669294</v>
      </c>
      <c r="E79" s="16">
        <f>E78-E78*$L$5</f>
        <v>0.10183101437903973</v>
      </c>
      <c r="F79" s="2">
        <f t="shared" si="6"/>
        <v>22</v>
      </c>
      <c r="G79" s="2">
        <f t="shared" si="7"/>
        <v>723</v>
      </c>
      <c r="H79" s="2">
        <f t="shared" si="8"/>
        <v>103</v>
      </c>
      <c r="I79" s="2">
        <f t="shared" si="9"/>
        <v>21.7685546875</v>
      </c>
    </row>
    <row r="80" spans="1:9" x14ac:dyDescent="0.2">
      <c r="A80" s="2">
        <v>179</v>
      </c>
      <c r="B80" s="4">
        <f t="shared" si="5"/>
        <v>0.70196078431372544</v>
      </c>
      <c r="C80" s="6">
        <f>$L$7*B80/((1+$L$7)-B80)</f>
        <v>0.10084507042253518</v>
      </c>
      <c r="D80" s="3">
        <f>C80*(1-$L$6) + $L$6</f>
        <v>0.17164467117666626</v>
      </c>
      <c r="E80" s="16">
        <f>E79-E79*$L$5</f>
        <v>9.8776083947668541E-2</v>
      </c>
      <c r="F80" s="2">
        <f t="shared" si="6"/>
        <v>22</v>
      </c>
      <c r="G80" s="2">
        <f t="shared" si="7"/>
        <v>719</v>
      </c>
      <c r="H80" s="2">
        <f t="shared" si="8"/>
        <v>101</v>
      </c>
      <c r="I80" s="2">
        <f t="shared" si="9"/>
        <v>21.5400390625</v>
      </c>
    </row>
    <row r="81" spans="1:9" x14ac:dyDescent="0.2">
      <c r="A81" s="2">
        <v>178</v>
      </c>
      <c r="B81" s="4">
        <f t="shared" si="5"/>
        <v>0.69803921568627447</v>
      </c>
      <c r="C81" s="6">
        <f>$L$7*B81/((1+$L$7)-B81)</f>
        <v>9.9164345403899706E-2</v>
      </c>
      <c r="D81" s="3">
        <f>C81*(1-$L$6) + $L$6</f>
        <v>0.17009628671067928</v>
      </c>
      <c r="E81" s="16">
        <f>E80-E80*$L$5</f>
        <v>9.5812801429238481E-2</v>
      </c>
      <c r="F81" s="2">
        <f t="shared" si="6"/>
        <v>22</v>
      </c>
      <c r="G81" s="2">
        <f t="shared" si="7"/>
        <v>715</v>
      </c>
      <c r="H81" s="2">
        <f t="shared" si="8"/>
        <v>100</v>
      </c>
      <c r="I81" s="2">
        <f t="shared" si="9"/>
        <v>21.42578125</v>
      </c>
    </row>
    <row r="82" spans="1:9" x14ac:dyDescent="0.2">
      <c r="A82" s="2">
        <v>177</v>
      </c>
      <c r="B82" s="4">
        <f t="shared" si="5"/>
        <v>0.69411764705882351</v>
      </c>
      <c r="C82" s="6">
        <f>$L$7*B82/((1+$L$7)-B82)</f>
        <v>9.7520661157024777E-2</v>
      </c>
      <c r="D82" s="3">
        <f>C82*(1-$L$6) + $L$6</f>
        <v>0.16858202642025116</v>
      </c>
      <c r="E82" s="16">
        <f>E81-E81*$L$5</f>
        <v>9.2938417386361327E-2</v>
      </c>
      <c r="F82" s="2">
        <f t="shared" si="6"/>
        <v>21</v>
      </c>
      <c r="G82" s="2">
        <f t="shared" si="7"/>
        <v>711</v>
      </c>
      <c r="H82" s="2">
        <f t="shared" si="8"/>
        <v>98</v>
      </c>
      <c r="I82" s="2">
        <f t="shared" si="9"/>
        <v>21.197265625</v>
      </c>
    </row>
    <row r="83" spans="1:9" x14ac:dyDescent="0.2">
      <c r="A83" s="2">
        <v>176</v>
      </c>
      <c r="B83" s="4">
        <f t="shared" si="5"/>
        <v>0.69019607843137254</v>
      </c>
      <c r="C83" s="6">
        <f>$L$7*B83/((1+$L$7)-B83)</f>
        <v>9.5912806539509524E-2</v>
      </c>
      <c r="D83" s="3">
        <f>C83*(1-$L$6) + $L$6</f>
        <v>0.16710077452852451</v>
      </c>
      <c r="E83" s="16">
        <f>E82-E82*$L$5</f>
        <v>9.0150264864770485E-2</v>
      </c>
      <c r="F83" s="2">
        <f t="shared" si="6"/>
        <v>21</v>
      </c>
      <c r="G83" s="2">
        <f t="shared" si="7"/>
        <v>707</v>
      </c>
      <c r="H83" s="2">
        <f t="shared" si="8"/>
        <v>96</v>
      </c>
      <c r="I83" s="2">
        <f t="shared" si="9"/>
        <v>20.96875</v>
      </c>
    </row>
    <row r="84" spans="1:9" x14ac:dyDescent="0.2">
      <c r="A84" s="2">
        <v>175</v>
      </c>
      <c r="B84" s="4">
        <f t="shared" si="5"/>
        <v>0.68627450980392157</v>
      </c>
      <c r="C84" s="6">
        <f>$L$7*B84/((1+$L$7)-B84)</f>
        <v>9.4339622641509427E-2</v>
      </c>
      <c r="D84" s="3">
        <f>C84*(1-$L$6) + $L$6</f>
        <v>0.16565146337839845</v>
      </c>
      <c r="E84" s="16">
        <f>E83-E83*$L$5</f>
        <v>8.7445756918827375E-2</v>
      </c>
      <c r="F84" s="2">
        <f t="shared" si="6"/>
        <v>21</v>
      </c>
      <c r="G84" s="2">
        <f t="shared" si="7"/>
        <v>703</v>
      </c>
      <c r="H84" s="2">
        <f t="shared" si="8"/>
        <v>95</v>
      </c>
      <c r="I84" s="2">
        <f t="shared" si="9"/>
        <v>20.8544921875</v>
      </c>
    </row>
    <row r="85" spans="1:9" x14ac:dyDescent="0.2">
      <c r="A85" s="2">
        <v>174</v>
      </c>
      <c r="B85" s="4">
        <f t="shared" si="5"/>
        <v>0.68235294117647061</v>
      </c>
      <c r="C85" s="6">
        <f>$L$7*B85/((1+$L$7)-B85)</f>
        <v>9.2799999999999994E-2</v>
      </c>
      <c r="D85" s="3">
        <f>C85*(1-$L$6) + $L$6</f>
        <v>0.16423307086614172</v>
      </c>
      <c r="E85" s="16">
        <f>E84-E84*$L$5</f>
        <v>8.482238421126255E-2</v>
      </c>
      <c r="F85" s="2">
        <f t="shared" si="6"/>
        <v>21</v>
      </c>
      <c r="G85" s="2">
        <f t="shared" si="7"/>
        <v>699</v>
      </c>
      <c r="H85" s="2">
        <f t="shared" si="8"/>
        <v>93</v>
      </c>
      <c r="I85" s="2">
        <f t="shared" si="9"/>
        <v>20.6259765625</v>
      </c>
    </row>
    <row r="86" spans="1:9" x14ac:dyDescent="0.2">
      <c r="A86" s="2">
        <v>173</v>
      </c>
      <c r="B86" s="4">
        <f t="shared" si="5"/>
        <v>0.67843137254901964</v>
      </c>
      <c r="C86" s="6">
        <f>$L$7*B86/((1+$L$7)-B86)</f>
        <v>9.1292875989445924E-2</v>
      </c>
      <c r="D86" s="3">
        <f>C86*(1-$L$6) + $L$6</f>
        <v>0.16284461803752104</v>
      </c>
      <c r="E86" s="16">
        <f>E85-E85*$L$5</f>
        <v>8.2277712684924675E-2</v>
      </c>
      <c r="F86" s="2">
        <f t="shared" si="6"/>
        <v>21</v>
      </c>
      <c r="G86" s="2">
        <f t="shared" si="7"/>
        <v>695</v>
      </c>
      <c r="H86" s="2">
        <f t="shared" si="8"/>
        <v>92</v>
      </c>
      <c r="I86" s="2">
        <f t="shared" si="9"/>
        <v>20.51171875</v>
      </c>
    </row>
    <row r="87" spans="1:9" x14ac:dyDescent="0.2">
      <c r="A87" s="2">
        <v>172</v>
      </c>
      <c r="B87" s="4">
        <f t="shared" si="5"/>
        <v>0.67450980392156867</v>
      </c>
      <c r="C87" s="6">
        <f>$L$7*B87/((1+$L$7)-B87)</f>
        <v>8.981723237597912E-2</v>
      </c>
      <c r="D87" s="3">
        <f>C87*(1-$L$6) + $L$6</f>
        <v>0.16148516683456343</v>
      </c>
      <c r="E87" s="16">
        <f>E86-E86*$L$5</f>
        <v>7.9809381304376939E-2</v>
      </c>
      <c r="F87" s="2">
        <f t="shared" si="6"/>
        <v>21</v>
      </c>
      <c r="G87" s="2">
        <f t="shared" si="7"/>
        <v>691</v>
      </c>
      <c r="H87" s="2">
        <f t="shared" si="8"/>
        <v>90</v>
      </c>
      <c r="I87" s="2">
        <f t="shared" si="9"/>
        <v>20.283203125</v>
      </c>
    </row>
    <row r="88" spans="1:9" x14ac:dyDescent="0.2">
      <c r="A88" s="2">
        <v>171</v>
      </c>
      <c r="B88" s="4">
        <f t="shared" si="5"/>
        <v>0.6705882352941176</v>
      </c>
      <c r="C88" s="6">
        <f>$L$7*B88/((1+$L$7)-B88)</f>
        <v>8.8372093023255799E-2</v>
      </c>
      <c r="D88" s="3">
        <f>C88*(1-$L$6) + $L$6</f>
        <v>0.16015381798205455</v>
      </c>
      <c r="E88" s="16">
        <f>E87-E87*$L$5</f>
        <v>7.7415099865245626E-2</v>
      </c>
      <c r="F88" s="2">
        <f t="shared" si="6"/>
        <v>20</v>
      </c>
      <c r="G88" s="2">
        <f t="shared" si="7"/>
        <v>687</v>
      </c>
      <c r="H88" s="2">
        <f t="shared" si="8"/>
        <v>89</v>
      </c>
      <c r="I88" s="2">
        <f t="shared" si="9"/>
        <v>20.1689453125</v>
      </c>
    </row>
    <row r="89" spans="1:9" x14ac:dyDescent="0.2">
      <c r="A89" s="2">
        <v>170</v>
      </c>
      <c r="B89" s="4">
        <f t="shared" si="5"/>
        <v>0.66666666666666663</v>
      </c>
      <c r="C89" s="6">
        <f>$L$7*B89/((1+$L$7)-B89)</f>
        <v>8.6956521739130418E-2</v>
      </c>
      <c r="D89" s="3">
        <f>C89*(1-$L$6) + $L$6</f>
        <v>0.15884970900376583</v>
      </c>
      <c r="E89" s="16">
        <f>E88-E88*$L$5</f>
        <v>7.5092646869288251E-2</v>
      </c>
      <c r="F89" s="2">
        <f t="shared" si="6"/>
        <v>20</v>
      </c>
      <c r="G89" s="2">
        <f t="shared" si="7"/>
        <v>683</v>
      </c>
      <c r="H89" s="2">
        <f t="shared" si="8"/>
        <v>87</v>
      </c>
      <c r="I89" s="2">
        <f t="shared" si="9"/>
        <v>19.9404296875</v>
      </c>
    </row>
    <row r="90" spans="1:9" x14ac:dyDescent="0.2">
      <c r="A90" s="2">
        <v>169</v>
      </c>
      <c r="B90" s="4">
        <f t="shared" si="5"/>
        <v>0.66274509803921566</v>
      </c>
      <c r="C90" s="6">
        <f>$L$7*B90/((1+$L$7)-B90)</f>
        <v>8.556962025316453E-2</v>
      </c>
      <c r="D90" s="3">
        <f>C90*(1-$L$6) + $L$6</f>
        <v>0.15757201235921459</v>
      </c>
      <c r="E90" s="16">
        <f>E89-E89*$L$5</f>
        <v>7.2839867463209598E-2</v>
      </c>
      <c r="F90" s="2">
        <f t="shared" si="6"/>
        <v>20</v>
      </c>
      <c r="G90" s="2">
        <f t="shared" si="7"/>
        <v>679</v>
      </c>
      <c r="H90" s="2">
        <f t="shared" si="8"/>
        <v>86</v>
      </c>
      <c r="I90" s="2">
        <f t="shared" si="9"/>
        <v>19.826171875</v>
      </c>
    </row>
    <row r="91" spans="1:9" x14ac:dyDescent="0.2">
      <c r="A91" s="2">
        <v>168</v>
      </c>
      <c r="B91" s="4">
        <f t="shared" si="5"/>
        <v>0.6588235294117647</v>
      </c>
      <c r="C91" s="6">
        <f>$L$7*B91/((1+$L$7)-B91)</f>
        <v>8.4210526315789472E-2</v>
      </c>
      <c r="D91" s="3">
        <f>C91*(1-$L$6) + $L$6</f>
        <v>0.15631993369249897</v>
      </c>
      <c r="E91" s="16">
        <f>E90-E90*$L$5</f>
        <v>7.065467143931331E-2</v>
      </c>
      <c r="F91" s="2">
        <f t="shared" si="6"/>
        <v>20</v>
      </c>
      <c r="G91" s="2">
        <f t="shared" si="7"/>
        <v>675</v>
      </c>
      <c r="H91" s="2">
        <f t="shared" si="8"/>
        <v>85</v>
      </c>
      <c r="I91" s="2">
        <f t="shared" si="9"/>
        <v>19.7119140625</v>
      </c>
    </row>
    <row r="92" spans="1:9" x14ac:dyDescent="0.2">
      <c r="A92" s="2">
        <v>167</v>
      </c>
      <c r="B92" s="4">
        <f t="shared" si="5"/>
        <v>0.65490196078431373</v>
      </c>
      <c r="C92" s="6">
        <f>$L$7*B92/((1+$L$7)-B92)</f>
        <v>8.2878411910669969E-2</v>
      </c>
      <c r="D92" s="3">
        <f>C92*(1-$L$6) + $L$6</f>
        <v>0.15509271018542037</v>
      </c>
      <c r="E92" s="16">
        <f>E91-E91*$L$5</f>
        <v>6.8535031296133905E-2</v>
      </c>
      <c r="F92" s="2">
        <f t="shared" si="6"/>
        <v>20</v>
      </c>
      <c r="G92" s="2">
        <f t="shared" si="7"/>
        <v>671</v>
      </c>
      <c r="H92" s="2">
        <f t="shared" si="8"/>
        <v>83</v>
      </c>
      <c r="I92" s="2">
        <f t="shared" si="9"/>
        <v>19.4833984375</v>
      </c>
    </row>
    <row r="93" spans="1:9" x14ac:dyDescent="0.2">
      <c r="A93" s="2">
        <v>166</v>
      </c>
      <c r="B93" s="4">
        <f t="shared" si="5"/>
        <v>0.65098039215686276</v>
      </c>
      <c r="C93" s="6">
        <f>$L$7*B93/((1+$L$7)-B93)</f>
        <v>8.1572481572481578E-2</v>
      </c>
      <c r="D93" s="3">
        <f>C93*(1-$L$6) + $L$6</f>
        <v>0.15388960900771925</v>
      </c>
      <c r="E93" s="16">
        <f>E92-E92*$L$5</f>
        <v>6.6478980357249889E-2</v>
      </c>
      <c r="F93" s="2">
        <f t="shared" si="6"/>
        <v>20</v>
      </c>
      <c r="G93" s="2">
        <f t="shared" si="7"/>
        <v>667</v>
      </c>
      <c r="H93" s="2">
        <f t="shared" si="8"/>
        <v>82</v>
      </c>
      <c r="I93" s="2">
        <f t="shared" si="9"/>
        <v>19.369140625</v>
      </c>
    </row>
    <row r="94" spans="1:9" x14ac:dyDescent="0.2">
      <c r="A94" s="2">
        <v>165</v>
      </c>
      <c r="B94" s="4">
        <f t="shared" si="5"/>
        <v>0.6470588235294118</v>
      </c>
      <c r="C94" s="6">
        <f>$L$7*B94/((1+$L$7)-B94)</f>
        <v>8.0291970802919707E-2</v>
      </c>
      <c r="D94" s="3">
        <f>C94*(1-$L$6) + $L$6</f>
        <v>0.1527099258578079</v>
      </c>
      <c r="E94" s="16">
        <f>E93-E93*$L$5</f>
        <v>6.4484610946532392E-2</v>
      </c>
      <c r="F94" s="2">
        <f t="shared" si="6"/>
        <v>19</v>
      </c>
      <c r="G94" s="2">
        <f t="shared" si="7"/>
        <v>663</v>
      </c>
      <c r="H94" s="2">
        <f t="shared" si="8"/>
        <v>81</v>
      </c>
      <c r="I94" s="2">
        <f t="shared" si="9"/>
        <v>19.2548828125</v>
      </c>
    </row>
    <row r="95" spans="1:9" x14ac:dyDescent="0.2">
      <c r="A95" s="2">
        <v>164</v>
      </c>
      <c r="B95" s="4">
        <f t="shared" si="5"/>
        <v>0.64313725490196083</v>
      </c>
      <c r="C95" s="6">
        <f>$L$7*B95/((1+$L$7)-B95)</f>
        <v>7.9036144578313261E-2</v>
      </c>
      <c r="D95" s="3">
        <f>C95*(1-$L$6) + $L$6</f>
        <v>0.1515529835878949</v>
      </c>
      <c r="E95" s="16">
        <f>E94-E94*$L$5</f>
        <v>6.2550072618136415E-2</v>
      </c>
      <c r="F95" s="2">
        <f t="shared" si="6"/>
        <v>19</v>
      </c>
      <c r="G95" s="2">
        <f t="shared" si="7"/>
        <v>659</v>
      </c>
      <c r="H95" s="2">
        <f t="shared" si="8"/>
        <v>79</v>
      </c>
      <c r="I95" s="2">
        <f t="shared" si="9"/>
        <v>19.0263671875</v>
      </c>
    </row>
    <row r="96" spans="1:9" x14ac:dyDescent="0.2">
      <c r="A96" s="2">
        <v>163</v>
      </c>
      <c r="B96" s="4">
        <f t="shared" si="5"/>
        <v>0.63921568627450975</v>
      </c>
      <c r="C96" s="6">
        <f>$L$7*B96/((1+$L$7)-B96)</f>
        <v>7.7804295942720744E-2</v>
      </c>
      <c r="D96" s="3">
        <f>C96*(1-$L$6) + $L$6</f>
        <v>0.15041813090786083</v>
      </c>
      <c r="E96" s="16">
        <f>E95-E95*$L$5</f>
        <v>6.0673570439592324E-2</v>
      </c>
      <c r="F96" s="2">
        <f t="shared" si="6"/>
        <v>19</v>
      </c>
      <c r="G96" s="2">
        <f t="shared" si="7"/>
        <v>655</v>
      </c>
      <c r="H96" s="2">
        <f t="shared" si="8"/>
        <v>78</v>
      </c>
      <c r="I96" s="2">
        <f t="shared" si="9"/>
        <v>18.912109375</v>
      </c>
    </row>
    <row r="97" spans="1:9" x14ac:dyDescent="0.2">
      <c r="A97" s="2">
        <v>162</v>
      </c>
      <c r="B97" s="4">
        <f t="shared" si="5"/>
        <v>0.63529411764705879</v>
      </c>
      <c r="C97" s="6">
        <f>$L$7*B97/((1+$L$7)-B97)</f>
        <v>7.6595744680851036E-2</v>
      </c>
      <c r="D97" s="3">
        <f>C97*(1-$L$6) + $L$6</f>
        <v>0.14930474116267378</v>
      </c>
      <c r="E97" s="16">
        <f>E96-E96*$L$5</f>
        <v>5.8853363326404555E-2</v>
      </c>
      <c r="F97" s="2">
        <f t="shared" si="6"/>
        <v>19</v>
      </c>
      <c r="G97" s="2">
        <f t="shared" si="7"/>
        <v>651</v>
      </c>
      <c r="H97" s="2">
        <f t="shared" si="8"/>
        <v>77</v>
      </c>
      <c r="I97" s="2">
        <f t="shared" si="9"/>
        <v>18.7978515625</v>
      </c>
    </row>
    <row r="98" spans="1:9" x14ac:dyDescent="0.2">
      <c r="A98" s="2">
        <v>161</v>
      </c>
      <c r="B98" s="4">
        <f t="shared" si="5"/>
        <v>0.63137254901960782</v>
      </c>
      <c r="C98" s="6">
        <f>$L$7*B98/((1+$L$7)-B98)</f>
        <v>7.5409836065573763E-2</v>
      </c>
      <c r="D98" s="3">
        <f>C98*(1-$L$6) + $L$6</f>
        <v>0.14821221117852071</v>
      </c>
      <c r="E98" s="16">
        <f>E97-E97*$L$5</f>
        <v>5.7087762426612419E-2</v>
      </c>
      <c r="F98" s="2">
        <f t="shared" si="6"/>
        <v>19</v>
      </c>
      <c r="G98" s="2">
        <f t="shared" si="7"/>
        <v>647</v>
      </c>
      <c r="H98" s="2">
        <f t="shared" si="8"/>
        <v>76</v>
      </c>
      <c r="I98" s="2">
        <f t="shared" si="9"/>
        <v>18.68359375</v>
      </c>
    </row>
    <row r="99" spans="1:9" x14ac:dyDescent="0.2">
      <c r="A99" s="2">
        <v>160</v>
      </c>
      <c r="B99" s="4">
        <f t="shared" si="5"/>
        <v>0.62745098039215685</v>
      </c>
      <c r="C99" s="6">
        <f>$L$7*B99/((1+$L$7)-B99)</f>
        <v>7.4245939675173997E-2</v>
      </c>
      <c r="D99" s="3">
        <f>C99*(1-$L$6) + $L$6</f>
        <v>0.14713996017319181</v>
      </c>
      <c r="E99" s="16">
        <f>E98-E98*$L$5</f>
        <v>5.5375129553814045E-2</v>
      </c>
      <c r="F99" s="2">
        <f t="shared" si="6"/>
        <v>19</v>
      </c>
      <c r="G99" s="2">
        <f t="shared" si="7"/>
        <v>643</v>
      </c>
      <c r="H99" s="2">
        <f t="shared" si="8"/>
        <v>75</v>
      </c>
      <c r="I99" s="2">
        <f t="shared" si="9"/>
        <v>18.5693359375</v>
      </c>
    </row>
    <row r="100" spans="1:9" x14ac:dyDescent="0.2">
      <c r="A100" s="2">
        <v>159</v>
      </c>
      <c r="B100" s="4">
        <f t="shared" si="5"/>
        <v>0.62352941176470589</v>
      </c>
      <c r="C100" s="6">
        <f>$L$7*B100/((1+$L$7)-B100)</f>
        <v>7.3103448275862071E-2</v>
      </c>
      <c r="D100" s="3">
        <f>C100*(1-$L$6) + $L$6</f>
        <v>0.14608742872658159</v>
      </c>
      <c r="E100" s="16">
        <f>E99-E99*$L$5</f>
        <v>5.3713875667199623E-2</v>
      </c>
      <c r="F100" s="2">
        <f t="shared" si="6"/>
        <v>19</v>
      </c>
      <c r="G100" s="2">
        <f t="shared" si="7"/>
        <v>638</v>
      </c>
      <c r="H100" s="2">
        <f t="shared" si="8"/>
        <v>73</v>
      </c>
      <c r="I100" s="2">
        <f t="shared" si="9"/>
        <v>18.3408203125</v>
      </c>
    </row>
    <row r="101" spans="1:9" x14ac:dyDescent="0.2">
      <c r="A101" s="2">
        <v>158</v>
      </c>
      <c r="B101" s="4">
        <f t="shared" si="5"/>
        <v>0.61960784313725492</v>
      </c>
      <c r="C101" s="6">
        <f>$L$7*B101/((1+$L$7)-B101)</f>
        <v>7.1981776765375857E-2</v>
      </c>
      <c r="D101" s="3">
        <f>C101*(1-$L$6) + $L$6</f>
        <v>0.14505407780747226</v>
      </c>
      <c r="E101" s="16">
        <f>E100-E100*$L$5</f>
        <v>5.2102459397183637E-2</v>
      </c>
      <c r="F101" s="2">
        <f t="shared" si="6"/>
        <v>18</v>
      </c>
      <c r="G101" s="2">
        <f t="shared" si="7"/>
        <v>634</v>
      </c>
      <c r="H101" s="2">
        <f t="shared" si="8"/>
        <v>72</v>
      </c>
      <c r="I101" s="2">
        <f t="shared" si="9"/>
        <v>18.2265625</v>
      </c>
    </row>
    <row r="102" spans="1:9" x14ac:dyDescent="0.2">
      <c r="A102" s="2">
        <v>157</v>
      </c>
      <c r="B102" s="4">
        <f t="shared" si="5"/>
        <v>0.61568627450980395</v>
      </c>
      <c r="C102" s="6">
        <f>$L$7*B102/((1+$L$7)-B102)</f>
        <v>7.088036117381491E-2</v>
      </c>
      <c r="D102" s="3">
        <f>C102*(1-$L$6) + $L$6</f>
        <v>0.1440393878530421</v>
      </c>
      <c r="E102" s="16">
        <f>E101-E101*$L$5</f>
        <v>5.0539385615268127E-2</v>
      </c>
      <c r="F102" s="2">
        <f t="shared" si="6"/>
        <v>18</v>
      </c>
      <c r="G102" s="2">
        <f t="shared" si="7"/>
        <v>630</v>
      </c>
      <c r="H102" s="2">
        <f t="shared" si="8"/>
        <v>71</v>
      </c>
      <c r="I102" s="2">
        <f t="shared" si="9"/>
        <v>18.1123046875</v>
      </c>
    </row>
    <row r="103" spans="1:9" x14ac:dyDescent="0.2">
      <c r="A103" s="2">
        <v>156</v>
      </c>
      <c r="B103" s="4">
        <f t="shared" si="5"/>
        <v>0.61176470588235299</v>
      </c>
      <c r="C103" s="6">
        <f>$L$7*B103/((1+$L$7)-B103)</f>
        <v>6.9798657718120813E-2</v>
      </c>
      <c r="D103" s="3">
        <f>C103*(1-$L$6) + $L$6</f>
        <v>0.14304285789779636</v>
      </c>
      <c r="E103" s="16">
        <f>E102-E102*$L$5</f>
        <v>4.9023204046810084E-2</v>
      </c>
      <c r="F103" s="2">
        <f t="shared" si="6"/>
        <v>18</v>
      </c>
      <c r="G103" s="2">
        <f t="shared" si="7"/>
        <v>626</v>
      </c>
      <c r="H103" s="2">
        <f t="shared" si="8"/>
        <v>70</v>
      </c>
      <c r="I103" s="2">
        <f t="shared" si="9"/>
        <v>17.998046875</v>
      </c>
    </row>
    <row r="104" spans="1:9" x14ac:dyDescent="0.2">
      <c r="A104" s="2">
        <v>155</v>
      </c>
      <c r="B104" s="4">
        <f t="shared" si="5"/>
        <v>0.60784313725490191</v>
      </c>
      <c r="C104" s="6">
        <f>$L$7*B104/((1+$L$7)-B104)</f>
        <v>6.8736141906873605E-2</v>
      </c>
      <c r="D104" s="3">
        <f>C104*(1-$L$6) + $L$6</f>
        <v>0.14206400474885206</v>
      </c>
      <c r="E104" s="16">
        <f>E103-E103*$L$5</f>
        <v>4.7552507925405781E-2</v>
      </c>
      <c r="F104" s="2">
        <f t="shared" si="6"/>
        <v>18</v>
      </c>
      <c r="G104" s="2">
        <f t="shared" si="7"/>
        <v>622</v>
      </c>
      <c r="H104" s="2">
        <f t="shared" si="8"/>
        <v>69</v>
      </c>
      <c r="I104" s="2">
        <f t="shared" si="9"/>
        <v>17.8837890625</v>
      </c>
    </row>
    <row r="105" spans="1:9" x14ac:dyDescent="0.2">
      <c r="A105" s="2">
        <v>154</v>
      </c>
      <c r="B105" s="4">
        <f t="shared" si="5"/>
        <v>0.60392156862745094</v>
      </c>
      <c r="C105" s="6">
        <f>$L$7*B105/((1+$L$7)-B105)</f>
        <v>6.7692307692307677E-2</v>
      </c>
      <c r="D105" s="3">
        <f>C105*(1-$L$6) + $L$6</f>
        <v>0.14110236220472439</v>
      </c>
      <c r="E105" s="16">
        <f>E104-E104*$L$5</f>
        <v>4.612593268764361E-2</v>
      </c>
      <c r="F105" s="2">
        <f t="shared" si="6"/>
        <v>18</v>
      </c>
      <c r="G105" s="2">
        <f t="shared" si="7"/>
        <v>618</v>
      </c>
      <c r="H105" s="2">
        <f t="shared" si="8"/>
        <v>68</v>
      </c>
      <c r="I105" s="2">
        <f t="shared" si="9"/>
        <v>17.76953125</v>
      </c>
    </row>
    <row r="106" spans="1:9" x14ac:dyDescent="0.2">
      <c r="A106" s="2">
        <v>153</v>
      </c>
      <c r="B106" s="4">
        <f t="shared" si="5"/>
        <v>0.6</v>
      </c>
      <c r="C106" s="6">
        <f>$L$7*B106/((1+$L$7)-B106)</f>
        <v>6.6666666666666652E-2</v>
      </c>
      <c r="D106" s="3">
        <f>C106*(1-$L$6) + $L$6</f>
        <v>0.14015748031496061</v>
      </c>
      <c r="E106" s="16">
        <f>E105-E105*$L$5</f>
        <v>4.4742154707014301E-2</v>
      </c>
      <c r="F106" s="2">
        <f t="shared" si="6"/>
        <v>18</v>
      </c>
      <c r="G106" s="2">
        <f t="shared" si="7"/>
        <v>614</v>
      </c>
      <c r="H106" s="2">
        <f t="shared" si="8"/>
        <v>67</v>
      </c>
      <c r="I106" s="2">
        <f t="shared" si="9"/>
        <v>17.6552734375</v>
      </c>
    </row>
    <row r="107" spans="1:9" x14ac:dyDescent="0.2">
      <c r="A107" s="2">
        <v>152</v>
      </c>
      <c r="B107" s="4">
        <f t="shared" si="5"/>
        <v>0.59607843137254901</v>
      </c>
      <c r="C107" s="6">
        <f>$L$7*B107/((1+$L$7)-B107)</f>
        <v>6.565874730021598E-2</v>
      </c>
      <c r="D107" s="3">
        <f>C107*(1-$L$6) + $L$6</f>
        <v>0.13922892467815173</v>
      </c>
      <c r="E107" s="16">
        <f>E106-E106*$L$5</f>
        <v>4.3399890065803873E-2</v>
      </c>
      <c r="F107" s="2">
        <f t="shared" si="6"/>
        <v>18</v>
      </c>
      <c r="G107" s="2">
        <f t="shared" si="7"/>
        <v>610</v>
      </c>
      <c r="H107" s="2">
        <f t="shared" si="8"/>
        <v>66</v>
      </c>
      <c r="I107" s="2">
        <f t="shared" si="9"/>
        <v>17.541015625</v>
      </c>
    </row>
    <row r="108" spans="1:9" x14ac:dyDescent="0.2">
      <c r="A108" s="2">
        <v>151</v>
      </c>
      <c r="B108" s="4">
        <f t="shared" si="5"/>
        <v>0.59215686274509804</v>
      </c>
      <c r="C108" s="6">
        <f>$L$7*B108/((1+$L$7)-B108)</f>
        <v>6.466809421841542E-2</v>
      </c>
      <c r="D108" s="3">
        <f>C108*(1-$L$6) + $L$6</f>
        <v>0.13831627577602051</v>
      </c>
      <c r="E108" s="16">
        <f>E107-E107*$L$5</f>
        <v>4.2097893363829755E-2</v>
      </c>
      <c r="F108" s="2">
        <f t="shared" si="6"/>
        <v>18</v>
      </c>
      <c r="G108" s="2">
        <f t="shared" si="7"/>
        <v>606</v>
      </c>
      <c r="H108" s="2">
        <f t="shared" si="8"/>
        <v>65</v>
      </c>
      <c r="I108" s="2">
        <f t="shared" si="9"/>
        <v>17.4267578125</v>
      </c>
    </row>
    <row r="109" spans="1:9" x14ac:dyDescent="0.2">
      <c r="A109" s="2">
        <v>150</v>
      </c>
      <c r="B109" s="4">
        <f t="shared" si="5"/>
        <v>0.58823529411764708</v>
      </c>
      <c r="C109" s="6">
        <f>$L$7*B109/((1+$L$7)-B109)</f>
        <v>6.3694267515923567E-2</v>
      </c>
      <c r="D109" s="3">
        <f>C109*(1-$L$6) + $L$6</f>
        <v>0.1374191283414414</v>
      </c>
      <c r="E109" s="16">
        <f>E108-E108*$L$5</f>
        <v>4.0834956562914859E-2</v>
      </c>
      <c r="F109" s="2">
        <f t="shared" si="6"/>
        <v>17</v>
      </c>
      <c r="G109" s="2">
        <f t="shared" si="7"/>
        <v>602</v>
      </c>
      <c r="H109" s="2">
        <f t="shared" si="8"/>
        <v>64</v>
      </c>
      <c r="I109" s="2">
        <f t="shared" si="9"/>
        <v>17.3125</v>
      </c>
    </row>
    <row r="110" spans="1:9" x14ac:dyDescent="0.2">
      <c r="A110" s="2">
        <v>149</v>
      </c>
      <c r="B110" s="4">
        <f t="shared" si="5"/>
        <v>0.58431372549019611</v>
      </c>
      <c r="C110" s="6">
        <f>$L$7*B110/((1+$L$7)-B110)</f>
        <v>6.273684210526316E-2</v>
      </c>
      <c r="D110" s="3">
        <f>C110*(1-$L$6) + $L$6</f>
        <v>0.13653709075839204</v>
      </c>
      <c r="E110" s="16">
        <f>E109-E109*$L$5</f>
        <v>3.9609907866027416E-2</v>
      </c>
      <c r="F110" s="2">
        <f t="shared" si="6"/>
        <v>17</v>
      </c>
      <c r="G110" s="2">
        <f t="shared" si="7"/>
        <v>598</v>
      </c>
      <c r="H110" s="2">
        <f t="shared" si="8"/>
        <v>63</v>
      </c>
      <c r="I110" s="2">
        <f t="shared" si="9"/>
        <v>17.1982421875</v>
      </c>
    </row>
    <row r="111" spans="1:9" x14ac:dyDescent="0.2">
      <c r="A111" s="2">
        <v>148</v>
      </c>
      <c r="B111" s="4">
        <f t="shared" si="5"/>
        <v>0.58039215686274515</v>
      </c>
      <c r="C111" s="6">
        <f>$L$7*B111/((1+$L$7)-B111)</f>
        <v>6.1795407098121091E-2</v>
      </c>
      <c r="D111" s="3">
        <f>C111*(1-$L$6) + $L$6</f>
        <v>0.13566978449196981</v>
      </c>
      <c r="E111" s="16">
        <f>E110-E110*$L$5</f>
        <v>3.8421610630046593E-2</v>
      </c>
      <c r="F111" s="2">
        <f t="shared" si="6"/>
        <v>17</v>
      </c>
      <c r="G111" s="2">
        <f t="shared" si="7"/>
        <v>594</v>
      </c>
      <c r="H111" s="2">
        <f t="shared" si="8"/>
        <v>62</v>
      </c>
      <c r="I111" s="2">
        <f t="shared" si="9"/>
        <v>17.083984375</v>
      </c>
    </row>
    <row r="112" spans="1:9" x14ac:dyDescent="0.2">
      <c r="A112" s="2">
        <v>147</v>
      </c>
      <c r="B112" s="4">
        <f t="shared" si="5"/>
        <v>0.57647058823529407</v>
      </c>
      <c r="C112" s="6">
        <f>$L$7*B112/((1+$L$7)-B112)</f>
        <v>6.0869565217391293E-2</v>
      </c>
      <c r="D112" s="3">
        <f>C112*(1-$L$6) + $L$6</f>
        <v>0.13481684354673057</v>
      </c>
      <c r="E112" s="16">
        <f>E111-E111*$L$5</f>
        <v>3.7268962311145196E-2</v>
      </c>
      <c r="F112" s="2">
        <f t="shared" si="6"/>
        <v>17</v>
      </c>
      <c r="G112" s="2">
        <f t="shared" si="7"/>
        <v>590</v>
      </c>
      <c r="H112" s="2">
        <f t="shared" si="8"/>
        <v>61</v>
      </c>
      <c r="I112" s="2">
        <f t="shared" si="9"/>
        <v>16.9697265625</v>
      </c>
    </row>
    <row r="113" spans="1:9" x14ac:dyDescent="0.2">
      <c r="A113" s="2">
        <v>146</v>
      </c>
      <c r="B113" s="4">
        <f t="shared" si="5"/>
        <v>0.5725490196078431</v>
      </c>
      <c r="C113" s="6">
        <f>$L$7*B113/((1+$L$7)-B113)</f>
        <v>5.9958932238193006E-2</v>
      </c>
      <c r="D113" s="3">
        <f>C113*(1-$L$6) + $L$6</f>
        <v>0.13397791395172112</v>
      </c>
      <c r="E113" s="16">
        <f>E112-E112*$L$5</f>
        <v>3.6150893441810841E-2</v>
      </c>
      <c r="F113" s="2">
        <f t="shared" si="6"/>
        <v>17</v>
      </c>
      <c r="G113" s="2">
        <f t="shared" si="7"/>
        <v>586</v>
      </c>
      <c r="H113" s="2">
        <f t="shared" si="8"/>
        <v>60</v>
      </c>
      <c r="I113" s="2">
        <f t="shared" si="9"/>
        <v>16.85546875</v>
      </c>
    </row>
    <row r="114" spans="1:9" x14ac:dyDescent="0.2">
      <c r="A114" s="2">
        <v>145</v>
      </c>
      <c r="B114" s="4">
        <f t="shared" si="5"/>
        <v>0.56862745098039214</v>
      </c>
      <c r="C114" s="6">
        <f>$L$7*B114/((1+$L$7)-B114)</f>
        <v>5.9063136456211807E-2</v>
      </c>
      <c r="D114" s="3">
        <f>C114*(1-$L$6) + $L$6</f>
        <v>0.13315265327068332</v>
      </c>
      <c r="E114" s="16">
        <f>E113-E113*$L$5</f>
        <v>3.5066366638556515E-2</v>
      </c>
      <c r="F114" s="2">
        <f t="shared" si="6"/>
        <v>17</v>
      </c>
      <c r="G114" s="2">
        <f t="shared" si="7"/>
        <v>582</v>
      </c>
      <c r="H114" s="2">
        <f t="shared" si="8"/>
        <v>59</v>
      </c>
      <c r="I114" s="2">
        <f t="shared" si="9"/>
        <v>16.7412109375</v>
      </c>
    </row>
    <row r="115" spans="1:9" x14ac:dyDescent="0.2">
      <c r="A115" s="2">
        <v>144</v>
      </c>
      <c r="B115" s="4">
        <f t="shared" si="5"/>
        <v>0.56470588235294117</v>
      </c>
      <c r="C115" s="6">
        <f>$L$7*B115/((1+$L$7)-B115)</f>
        <v>5.8181818181818175E-2</v>
      </c>
      <c r="D115" s="3">
        <f>C115*(1-$L$6) + $L$6</f>
        <v>0.13234073013600572</v>
      </c>
      <c r="E115" s="16">
        <f>E114-E114*$L$5</f>
        <v>3.4014375639399817E-2</v>
      </c>
      <c r="F115" s="2">
        <f t="shared" si="6"/>
        <v>17</v>
      </c>
      <c r="G115" s="2">
        <f t="shared" si="7"/>
        <v>578</v>
      </c>
      <c r="H115" s="2">
        <f t="shared" si="8"/>
        <v>58</v>
      </c>
      <c r="I115" s="2">
        <f t="shared" si="9"/>
        <v>16.626953125</v>
      </c>
    </row>
    <row r="116" spans="1:9" x14ac:dyDescent="0.2">
      <c r="A116" s="2">
        <v>143</v>
      </c>
      <c r="B116" s="4">
        <f t="shared" si="5"/>
        <v>0.5607843137254902</v>
      </c>
      <c r="C116" s="6">
        <f>$L$7*B116/((1+$L$7)-B116)</f>
        <v>5.7314629258517033E-2</v>
      </c>
      <c r="D116" s="3">
        <f>C116*(1-$L$6) + $L$6</f>
        <v>0.1315418238050905</v>
      </c>
      <c r="E116" s="16">
        <f>E115-E115*$L$5</f>
        <v>3.2993944370217826E-2</v>
      </c>
      <c r="F116" s="2">
        <f t="shared" si="6"/>
        <v>17</v>
      </c>
      <c r="G116" s="2">
        <f t="shared" si="7"/>
        <v>574</v>
      </c>
      <c r="H116" s="2">
        <f t="shared" si="8"/>
        <v>57</v>
      </c>
      <c r="I116" s="2">
        <f t="shared" si="9"/>
        <v>16.5126953125</v>
      </c>
    </row>
    <row r="117" spans="1:9" x14ac:dyDescent="0.2">
      <c r="A117" s="2">
        <v>142</v>
      </c>
      <c r="B117" s="4">
        <f t="shared" si="5"/>
        <v>0.55686274509803924</v>
      </c>
      <c r="C117" s="6">
        <f>$L$7*B117/((1+$L$7)-B117)</f>
        <v>5.6461232604373759E-2</v>
      </c>
      <c r="D117" s="3">
        <f>C117*(1-$L$6) + $L$6</f>
        <v>0.13075562373788763</v>
      </c>
      <c r="E117" s="16">
        <f>E116-E116*$L$5</f>
        <v>3.2004126039111291E-2</v>
      </c>
      <c r="F117" s="2">
        <f t="shared" si="6"/>
        <v>17</v>
      </c>
      <c r="G117" s="2">
        <f t="shared" si="7"/>
        <v>570</v>
      </c>
      <c r="H117" s="2">
        <f t="shared" si="8"/>
        <v>57</v>
      </c>
      <c r="I117" s="2">
        <f t="shared" si="9"/>
        <v>16.5126953125</v>
      </c>
    </row>
    <row r="118" spans="1:9" x14ac:dyDescent="0.2">
      <c r="A118" s="2">
        <v>141</v>
      </c>
      <c r="B118" s="4">
        <f t="shared" si="5"/>
        <v>0.55294117647058827</v>
      </c>
      <c r="C118" s="6">
        <f>$L$7*B118/((1+$L$7)-B118)</f>
        <v>5.562130177514793E-2</v>
      </c>
      <c r="D118" s="3">
        <f>C118*(1-$L$6) + $L$6</f>
        <v>0.12998182919442763</v>
      </c>
      <c r="E118" s="16">
        <f>E117-E117*$L$5</f>
        <v>3.1044002257937953E-2</v>
      </c>
      <c r="F118" s="2">
        <f t="shared" si="6"/>
        <v>17</v>
      </c>
      <c r="G118" s="2">
        <f t="shared" si="7"/>
        <v>566</v>
      </c>
      <c r="H118" s="2">
        <f t="shared" si="8"/>
        <v>56</v>
      </c>
      <c r="I118" s="2">
        <f t="shared" si="9"/>
        <v>16.3984375</v>
      </c>
    </row>
    <row r="119" spans="1:9" x14ac:dyDescent="0.2">
      <c r="A119" s="2">
        <v>140</v>
      </c>
      <c r="B119" s="4">
        <f t="shared" si="5"/>
        <v>0.5490196078431373</v>
      </c>
      <c r="C119" s="6">
        <f>$L$7*B119/((1+$L$7)-B119)</f>
        <v>5.4794520547945209E-2</v>
      </c>
      <c r="D119" s="3">
        <f>C119*(1-$L$6) + $L$6</f>
        <v>0.1292201488512566</v>
      </c>
      <c r="E119" s="16">
        <f>E118-E118*$L$5</f>
        <v>3.0112682190199816E-2</v>
      </c>
      <c r="F119" s="2">
        <f t="shared" si="6"/>
        <v>16</v>
      </c>
      <c r="G119" s="2">
        <f t="shared" si="7"/>
        <v>562</v>
      </c>
      <c r="H119" s="2">
        <f t="shared" si="8"/>
        <v>55</v>
      </c>
      <c r="I119" s="2">
        <f t="shared" si="9"/>
        <v>16.2841796875</v>
      </c>
    </row>
    <row r="120" spans="1:9" x14ac:dyDescent="0.2">
      <c r="A120" s="2">
        <v>139</v>
      </c>
      <c r="B120" s="4">
        <f t="shared" si="5"/>
        <v>0.54509803921568623</v>
      </c>
      <c r="C120" s="6">
        <f>$L$7*B120/((1+$L$7)-B120)</f>
        <v>5.3980582524271827E-2</v>
      </c>
      <c r="D120" s="3">
        <f>C120*(1-$L$6) + $L$6</f>
        <v>0.12847030043574648</v>
      </c>
      <c r="E120" s="16">
        <f>E119-E119*$L$5</f>
        <v>2.9209301724493823E-2</v>
      </c>
      <c r="F120" s="2">
        <f t="shared" si="6"/>
        <v>16</v>
      </c>
      <c r="G120" s="2">
        <f t="shared" si="7"/>
        <v>558</v>
      </c>
      <c r="H120" s="2">
        <f t="shared" si="8"/>
        <v>54</v>
      </c>
      <c r="I120" s="2">
        <f t="shared" si="9"/>
        <v>16.169921875</v>
      </c>
    </row>
    <row r="121" spans="1:9" x14ac:dyDescent="0.2">
      <c r="A121" s="2">
        <v>138</v>
      </c>
      <c r="B121" s="4">
        <f t="shared" si="5"/>
        <v>0.54117647058823526</v>
      </c>
      <c r="C121" s="6">
        <f>$L$7*B121/((1+$L$7)-B121)</f>
        <v>5.3179190751445074E-2</v>
      </c>
      <c r="D121" s="3">
        <f>C121*(1-$L$6) + $L$6</f>
        <v>0.12773201037731555</v>
      </c>
      <c r="E121" s="16">
        <f>E120-E120*$L$5</f>
        <v>2.8333022672759008E-2</v>
      </c>
      <c r="F121" s="2">
        <f t="shared" si="6"/>
        <v>16</v>
      </c>
      <c r="G121" s="2">
        <f t="shared" si="7"/>
        <v>554</v>
      </c>
      <c r="H121" s="2">
        <f t="shared" si="8"/>
        <v>53</v>
      </c>
      <c r="I121" s="2">
        <f t="shared" si="9"/>
        <v>16.0556640625</v>
      </c>
    </row>
    <row r="122" spans="1:9" x14ac:dyDescent="0.2">
      <c r="A122" s="2">
        <v>137</v>
      </c>
      <c r="B122" s="4">
        <f t="shared" si="5"/>
        <v>0.53725490196078429</v>
      </c>
      <c r="C122" s="6">
        <f>$L$7*B122/((1+$L$7)-B122)</f>
        <v>5.2390057361376668E-2</v>
      </c>
      <c r="D122" s="3">
        <f>C122*(1-$L$6) + $L$6</f>
        <v>0.12700501347465409</v>
      </c>
      <c r="E122" s="16">
        <f>E121-E121*$L$5</f>
        <v>2.7483031992576238E-2</v>
      </c>
      <c r="F122" s="2">
        <f t="shared" si="6"/>
        <v>16</v>
      </c>
      <c r="G122" s="2">
        <f t="shared" si="7"/>
        <v>550</v>
      </c>
      <c r="H122" s="2">
        <f t="shared" si="8"/>
        <v>52</v>
      </c>
      <c r="I122" s="2">
        <f t="shared" si="9"/>
        <v>15.94140625</v>
      </c>
    </row>
    <row r="123" spans="1:9" x14ac:dyDescent="0.2">
      <c r="A123" s="2">
        <v>136</v>
      </c>
      <c r="B123" s="4">
        <f t="shared" si="5"/>
        <v>0.53333333333333333</v>
      </c>
      <c r="C123" s="6">
        <f>$L$7*B123/((1+$L$7)-B123)</f>
        <v>5.1612903225806452E-2</v>
      </c>
      <c r="D123" s="3">
        <f>C123*(1-$L$6) + $L$6</f>
        <v>0.12628905257810516</v>
      </c>
      <c r="E123" s="16">
        <f>E122-E122*$L$5</f>
        <v>2.6658541032798952E-2</v>
      </c>
      <c r="F123" s="2">
        <f t="shared" si="6"/>
        <v>16</v>
      </c>
      <c r="G123" s="2">
        <f t="shared" si="7"/>
        <v>546</v>
      </c>
      <c r="H123" s="2">
        <f t="shared" si="8"/>
        <v>52</v>
      </c>
      <c r="I123" s="2">
        <f t="shared" si="9"/>
        <v>15.94140625</v>
      </c>
    </row>
    <row r="124" spans="1:9" x14ac:dyDescent="0.2">
      <c r="A124" s="2">
        <v>135</v>
      </c>
      <c r="B124" s="4">
        <f t="shared" si="5"/>
        <v>0.52941176470588236</v>
      </c>
      <c r="C124" s="6">
        <f>$L$7*B124/((1+$L$7)-B124)</f>
        <v>5.0847457627118647E-2</v>
      </c>
      <c r="D124" s="3">
        <f>C124*(1-$L$6) + $L$6</f>
        <v>0.12558387828640064</v>
      </c>
      <c r="E124" s="16">
        <f>E123-E123*$L$5</f>
        <v>2.5858784801814985E-2</v>
      </c>
      <c r="F124" s="2">
        <f t="shared" si="6"/>
        <v>16</v>
      </c>
      <c r="G124" s="2">
        <f t="shared" si="7"/>
        <v>542</v>
      </c>
      <c r="H124" s="2">
        <f t="shared" si="8"/>
        <v>51</v>
      </c>
      <c r="I124" s="2">
        <f t="shared" si="9"/>
        <v>15.8271484375</v>
      </c>
    </row>
    <row r="125" spans="1:9" x14ac:dyDescent="0.2">
      <c r="A125" s="2">
        <v>134</v>
      </c>
      <c r="B125" s="4">
        <f t="shared" si="5"/>
        <v>0.52549019607843139</v>
      </c>
      <c r="C125" s="6">
        <f>$L$7*B125/((1+$L$7)-B125)</f>
        <v>5.0093457943925231E-2</v>
      </c>
      <c r="D125" s="3">
        <f>C125*(1-$L$6) + $L$6</f>
        <v>0.12488924865700199</v>
      </c>
      <c r="E125" s="16">
        <f>E124-E124*$L$5</f>
        <v>2.5083021257760536E-2</v>
      </c>
      <c r="F125" s="2">
        <f t="shared" si="6"/>
        <v>16</v>
      </c>
      <c r="G125" s="2">
        <f t="shared" si="7"/>
        <v>538</v>
      </c>
      <c r="H125" s="2">
        <f t="shared" si="8"/>
        <v>50</v>
      </c>
      <c r="I125" s="2">
        <f t="shared" si="9"/>
        <v>15.712890625</v>
      </c>
    </row>
    <row r="126" spans="1:9" x14ac:dyDescent="0.2">
      <c r="A126" s="2">
        <v>133</v>
      </c>
      <c r="B126" s="4">
        <f t="shared" si="5"/>
        <v>0.52156862745098043</v>
      </c>
      <c r="C126" s="6">
        <f>$L$7*B126/((1+$L$7)-B126)</f>
        <v>4.9350649350649353E-2</v>
      </c>
      <c r="D126" s="3">
        <f>C126*(1-$L$6) + $L$6</f>
        <v>0.12420492892933838</v>
      </c>
      <c r="E126" s="16">
        <f>E125-E125*$L$5</f>
        <v>2.433053062002772E-2</v>
      </c>
      <c r="F126" s="2">
        <f t="shared" si="6"/>
        <v>16</v>
      </c>
      <c r="G126" s="2">
        <f t="shared" si="7"/>
        <v>534</v>
      </c>
      <c r="H126" s="2">
        <f t="shared" si="8"/>
        <v>49</v>
      </c>
      <c r="I126" s="2">
        <f t="shared" si="9"/>
        <v>15.5986328125</v>
      </c>
    </row>
    <row r="127" spans="1:9" x14ac:dyDescent="0.2">
      <c r="A127" s="2">
        <v>132</v>
      </c>
      <c r="B127" s="4">
        <f t="shared" si="5"/>
        <v>0.51764705882352946</v>
      </c>
      <c r="C127" s="6">
        <f>$L$7*B127/((1+$L$7)-B127)</f>
        <v>4.8618784530386747E-2</v>
      </c>
      <c r="D127" s="3">
        <f>C127*(1-$L$6) + $L$6</f>
        <v>0.12353069126027755</v>
      </c>
      <c r="E127" s="16">
        <f>E126-E126*$L$5</f>
        <v>2.3600614701426888E-2</v>
      </c>
      <c r="F127" s="2">
        <f t="shared" si="6"/>
        <v>16</v>
      </c>
      <c r="G127" s="2">
        <f t="shared" si="7"/>
        <v>530</v>
      </c>
      <c r="H127" s="2">
        <f t="shared" si="8"/>
        <v>49</v>
      </c>
      <c r="I127" s="2">
        <f t="shared" si="9"/>
        <v>15.5986328125</v>
      </c>
    </row>
    <row r="128" spans="1:9" x14ac:dyDescent="0.2">
      <c r="A128" s="2">
        <v>131</v>
      </c>
      <c r="B128" s="4">
        <f t="shared" si="5"/>
        <v>0.51372549019607838</v>
      </c>
      <c r="C128" s="6">
        <f>$L$7*B128/((1+$L$7)-B128)</f>
        <v>4.7897623400365616E-2</v>
      </c>
      <c r="D128" s="3">
        <f>C128*(1-$L$6) + $L$6</f>
        <v>0.12286631447120297</v>
      </c>
      <c r="E128" s="16">
        <f>E127-E127*$L$5</f>
        <v>2.289259626038408E-2</v>
      </c>
      <c r="F128" s="2">
        <f t="shared" si="6"/>
        <v>16</v>
      </c>
      <c r="G128" s="2">
        <f t="shared" si="7"/>
        <v>526</v>
      </c>
      <c r="H128" s="2">
        <f t="shared" si="8"/>
        <v>48</v>
      </c>
      <c r="I128" s="2">
        <f t="shared" si="9"/>
        <v>15.484375</v>
      </c>
    </row>
    <row r="129" spans="1:9" x14ac:dyDescent="0.2">
      <c r="A129" s="2">
        <v>130</v>
      </c>
      <c r="B129" s="4">
        <f t="shared" si="5"/>
        <v>0.50980392156862742</v>
      </c>
      <c r="C129" s="6">
        <f>$L$7*B129/((1+$L$7)-B129)</f>
        <v>4.7186932849364781E-2</v>
      </c>
      <c r="D129" s="3">
        <f>C129*(1-$L$6) + $L$6</f>
        <v>0.12221158380610772</v>
      </c>
      <c r="E129" s="16">
        <f>E128-E128*$L$5</f>
        <v>2.2205818372572558E-2</v>
      </c>
      <c r="F129" s="2">
        <f t="shared" si="6"/>
        <v>16</v>
      </c>
      <c r="G129" s="2">
        <f t="shared" si="7"/>
        <v>522</v>
      </c>
      <c r="H129" s="2">
        <f t="shared" si="8"/>
        <v>47</v>
      </c>
      <c r="I129" s="2">
        <f t="shared" si="9"/>
        <v>15.3701171875</v>
      </c>
    </row>
    <row r="130" spans="1:9" x14ac:dyDescent="0.2">
      <c r="A130" s="2">
        <v>129</v>
      </c>
      <c r="B130" s="4">
        <f t="shared" si="5"/>
        <v>0.50588235294117645</v>
      </c>
      <c r="C130" s="6">
        <f>$L$7*B130/((1+$L$7)-B130)</f>
        <v>4.6486486486486484E-2</v>
      </c>
      <c r="D130" s="3">
        <f>C130*(1-$L$6) + $L$6</f>
        <v>0.12156629070014896</v>
      </c>
      <c r="E130" s="16">
        <f>E129-E129*$L$5</f>
        <v>2.1539643821395383E-2</v>
      </c>
      <c r="F130" s="2">
        <f t="shared" si="6"/>
        <v>15</v>
      </c>
      <c r="G130" s="2">
        <f t="shared" si="7"/>
        <v>518</v>
      </c>
      <c r="H130" s="2">
        <f t="shared" si="8"/>
        <v>47</v>
      </c>
      <c r="I130" s="2">
        <f t="shared" si="9"/>
        <v>15.3701171875</v>
      </c>
    </row>
    <row r="131" spans="1:9" x14ac:dyDescent="0.2">
      <c r="A131" s="2">
        <v>128</v>
      </c>
      <c r="B131" s="4">
        <f t="shared" si="5"/>
        <v>0.50196078431372548</v>
      </c>
      <c r="C131" s="6">
        <f>$L$7*B131/((1+$L$7)-B131)</f>
        <v>4.5796064400715562E-2</v>
      </c>
      <c r="D131" s="3">
        <f>C131*(1-$L$6) + $L$6</f>
        <v>0.12093023255813953</v>
      </c>
      <c r="E131" s="16">
        <f>E130-E130*$L$5</f>
        <v>2.089345450675352E-2</v>
      </c>
      <c r="F131" s="2">
        <f t="shared" si="6"/>
        <v>15</v>
      </c>
      <c r="G131" s="2">
        <f t="shared" si="7"/>
        <v>514</v>
      </c>
      <c r="H131" s="2">
        <f t="shared" si="8"/>
        <v>46</v>
      </c>
      <c r="I131" s="2">
        <f t="shared" si="9"/>
        <v>15.255859375</v>
      </c>
    </row>
    <row r="132" spans="1:9" x14ac:dyDescent="0.2">
      <c r="A132" s="2">
        <v>127</v>
      </c>
      <c r="B132" s="4">
        <f t="shared" si="5"/>
        <v>0.49803921568627452</v>
      </c>
      <c r="C132" s="6">
        <f>$L$7*B132/((1+$L$7)-B132)</f>
        <v>4.5115452930728238E-2</v>
      </c>
      <c r="D132" s="3">
        <f>C132*(1-$L$6) + $L$6</f>
        <v>0.12030321254248191</v>
      </c>
      <c r="E132" s="16">
        <f>E131-E131*$L$5</f>
        <v>2.0266650871550915E-2</v>
      </c>
      <c r="F132" s="2">
        <f t="shared" si="6"/>
        <v>15</v>
      </c>
      <c r="G132" s="2">
        <f t="shared" si="7"/>
        <v>510</v>
      </c>
      <c r="H132" s="2">
        <f t="shared" si="8"/>
        <v>45</v>
      </c>
      <c r="I132" s="2">
        <f t="shared" si="9"/>
        <v>15.1416015625</v>
      </c>
    </row>
    <row r="133" spans="1:9" x14ac:dyDescent="0.2">
      <c r="A133" s="2">
        <v>126</v>
      </c>
      <c r="B133" s="4">
        <f t="shared" ref="B133:B196" si="10">A133/255</f>
        <v>0.49411764705882355</v>
      </c>
      <c r="C133" s="6">
        <f>$L$7*B133/((1+$L$7)-B133)</f>
        <v>4.4444444444444446E-2</v>
      </c>
      <c r="D133" s="3">
        <f>C133*(1-$L$6) + $L$6</f>
        <v>0.11968503937007874</v>
      </c>
      <c r="E133" s="16">
        <f>E132-E132*$L$5</f>
        <v>1.9658651345404388E-2</v>
      </c>
      <c r="F133" s="2">
        <f t="shared" ref="F133:F196" si="11">ROUND(D133*127,0)</f>
        <v>15</v>
      </c>
      <c r="G133" s="2">
        <f t="shared" ref="G133:G196" si="12">ROUND(A133*$L$10/255,0)</f>
        <v>506</v>
      </c>
      <c r="H133" s="2">
        <f t="shared" ref="H133:H196" si="13">ROUND($L$8*G133/(($L$10+$L$8) - G133),0)</f>
        <v>45</v>
      </c>
      <c r="I133" s="2">
        <f t="shared" ref="I133:I196" si="14">H133*(127 - $L$3)/1024 + $L$3</f>
        <v>15.1416015625</v>
      </c>
    </row>
    <row r="134" spans="1:9" x14ac:dyDescent="0.2">
      <c r="A134" s="2">
        <v>125</v>
      </c>
      <c r="B134" s="4">
        <f t="shared" si="10"/>
        <v>0.49019607843137253</v>
      </c>
      <c r="C134" s="6">
        <f>$L$7*B134/((1+$L$7)-B134)</f>
        <v>4.3782837127845885E-2</v>
      </c>
      <c r="D134" s="3">
        <f>C134*(1-$L$6) + $L$6</f>
        <v>0.11907552711777927</v>
      </c>
      <c r="E134" s="16">
        <f>E133-E133*$L$5</f>
        <v>1.9068891805042256E-2</v>
      </c>
      <c r="F134" s="2">
        <f t="shared" si="11"/>
        <v>15</v>
      </c>
      <c r="G134" s="2">
        <f t="shared" si="12"/>
        <v>502</v>
      </c>
      <c r="H134" s="2">
        <f t="shared" si="13"/>
        <v>44</v>
      </c>
      <c r="I134" s="2">
        <f t="shared" si="14"/>
        <v>15.02734375</v>
      </c>
    </row>
    <row r="135" spans="1:9" x14ac:dyDescent="0.2">
      <c r="A135" s="2">
        <v>124</v>
      </c>
      <c r="B135" s="4">
        <f t="shared" si="10"/>
        <v>0.48627450980392156</v>
      </c>
      <c r="C135" s="6">
        <f>$L$7*B135/((1+$L$7)-B135)</f>
        <v>4.3130434782608695E-2</v>
      </c>
      <c r="D135" s="3">
        <f>C135*(1-$L$6) + $L$6</f>
        <v>0.11847449503594659</v>
      </c>
      <c r="E135" s="16">
        <f>E134-E134*$L$5</f>
        <v>1.8496825050890987E-2</v>
      </c>
      <c r="F135" s="2">
        <f t="shared" si="11"/>
        <v>15</v>
      </c>
      <c r="G135" s="2">
        <f t="shared" si="12"/>
        <v>498</v>
      </c>
      <c r="H135" s="2">
        <f t="shared" si="13"/>
        <v>43</v>
      </c>
      <c r="I135" s="2">
        <f t="shared" si="14"/>
        <v>14.9130859375</v>
      </c>
    </row>
    <row r="136" spans="1:9" x14ac:dyDescent="0.2">
      <c r="A136" s="2">
        <v>123</v>
      </c>
      <c r="B136" s="4">
        <f t="shared" si="10"/>
        <v>0.4823529411764706</v>
      </c>
      <c r="C136" s="6">
        <f>$L$7*B136/((1+$L$7)-B136)</f>
        <v>4.248704663212436E-2</v>
      </c>
      <c r="D136" s="3">
        <f>C136*(1-$L$6) + $L$6</f>
        <v>0.11788176736975237</v>
      </c>
      <c r="E136" s="16">
        <f>E135-E135*$L$5</f>
        <v>1.7941920299364259E-2</v>
      </c>
      <c r="F136" s="2">
        <f t="shared" si="11"/>
        <v>15</v>
      </c>
      <c r="G136" s="2">
        <f t="shared" si="12"/>
        <v>494</v>
      </c>
      <c r="H136" s="2">
        <f t="shared" si="13"/>
        <v>43</v>
      </c>
      <c r="I136" s="2">
        <f t="shared" si="14"/>
        <v>14.9130859375</v>
      </c>
    </row>
    <row r="137" spans="1:9" x14ac:dyDescent="0.2">
      <c r="A137" s="2">
        <v>122</v>
      </c>
      <c r="B137" s="4">
        <f t="shared" si="10"/>
        <v>0.47843137254901963</v>
      </c>
      <c r="C137" s="6">
        <f>$L$7*B137/((1+$L$7)-B137)</f>
        <v>4.185248713550601E-2</v>
      </c>
      <c r="D137" s="3">
        <f>C137*(1-$L$6) + $L$6</f>
        <v>0.11729717318782837</v>
      </c>
      <c r="E137" s="16">
        <f>E136-E136*$L$5</f>
        <v>1.7403662690383331E-2</v>
      </c>
      <c r="F137" s="2">
        <f t="shared" si="11"/>
        <v>15</v>
      </c>
      <c r="G137" s="2">
        <f t="shared" si="12"/>
        <v>490</v>
      </c>
      <c r="H137" s="2">
        <f t="shared" si="13"/>
        <v>42</v>
      </c>
      <c r="I137" s="2">
        <f t="shared" si="14"/>
        <v>14.798828125</v>
      </c>
    </row>
    <row r="138" spans="1:9" x14ac:dyDescent="0.2">
      <c r="A138" s="2">
        <v>121</v>
      </c>
      <c r="B138" s="4">
        <f t="shared" si="10"/>
        <v>0.47450980392156861</v>
      </c>
      <c r="C138" s="6">
        <f>$L$7*B138/((1+$L$7)-B138)</f>
        <v>4.122657580919932E-2</v>
      </c>
      <c r="D138" s="3">
        <f>C138*(1-$L$6) + $L$6</f>
        <v>0.11672054621792378</v>
      </c>
      <c r="E138" s="16">
        <f>E137-E137*$L$5</f>
        <v>1.6881552809671831E-2</v>
      </c>
      <c r="F138" s="2">
        <f t="shared" si="11"/>
        <v>15</v>
      </c>
      <c r="G138" s="2">
        <f t="shared" si="12"/>
        <v>486</v>
      </c>
      <c r="H138" s="2">
        <f t="shared" si="13"/>
        <v>41</v>
      </c>
      <c r="I138" s="2">
        <f t="shared" si="14"/>
        <v>14.6845703125</v>
      </c>
    </row>
    <row r="139" spans="1:9" x14ac:dyDescent="0.2">
      <c r="A139" s="2">
        <v>120</v>
      </c>
      <c r="B139" s="4">
        <f t="shared" si="10"/>
        <v>0.47058823529411764</v>
      </c>
      <c r="C139" s="6">
        <f>$L$7*B139/((1+$L$7)-B139)</f>
        <v>4.060913705583756E-2</v>
      </c>
      <c r="D139" s="3">
        <f>C139*(1-$L$6) + $L$6</f>
        <v>0.11615172468923618</v>
      </c>
      <c r="E139" s="16">
        <f>E138-E138*$L$5</f>
        <v>1.6375106225381676E-2</v>
      </c>
      <c r="F139" s="2">
        <f t="shared" si="11"/>
        <v>15</v>
      </c>
      <c r="G139" s="2">
        <f t="shared" si="12"/>
        <v>482</v>
      </c>
      <c r="H139" s="2">
        <f t="shared" si="13"/>
        <v>41</v>
      </c>
      <c r="I139" s="2">
        <f t="shared" si="14"/>
        <v>14.6845703125</v>
      </c>
    </row>
    <row r="140" spans="1:9" x14ac:dyDescent="0.2">
      <c r="A140" s="2">
        <v>119</v>
      </c>
      <c r="B140" s="4">
        <f t="shared" si="10"/>
        <v>0.46666666666666667</v>
      </c>
      <c r="C140" s="6">
        <f>$L$7*B140/((1+$L$7)-B140)</f>
        <v>0.04</v>
      </c>
      <c r="D140" s="3">
        <f>C140*(1-$L$6) + $L$6</f>
        <v>0.11559055118110237</v>
      </c>
      <c r="E140" s="16">
        <f>E139-E139*$L$5</f>
        <v>1.5883853038620225E-2</v>
      </c>
      <c r="F140" s="2">
        <f t="shared" si="11"/>
        <v>15</v>
      </c>
      <c r="G140" s="2">
        <f t="shared" si="12"/>
        <v>478</v>
      </c>
      <c r="H140" s="2">
        <f t="shared" si="13"/>
        <v>40</v>
      </c>
      <c r="I140" s="2">
        <f t="shared" si="14"/>
        <v>14.5703125</v>
      </c>
    </row>
    <row r="141" spans="1:9" x14ac:dyDescent="0.2">
      <c r="A141" s="2">
        <v>118</v>
      </c>
      <c r="B141" s="4">
        <f t="shared" si="10"/>
        <v>0.46274509803921571</v>
      </c>
      <c r="C141" s="6">
        <f>$L$7*B141/((1+$L$7)-B141)</f>
        <v>3.9398998330550918E-2</v>
      </c>
      <c r="D141" s="3">
        <f>C141*(1-$L$6) + $L$6</f>
        <v>0.11503687247775163</v>
      </c>
      <c r="E141" s="16">
        <f>E140-E140*$L$5</f>
        <v>1.5407337447461618E-2</v>
      </c>
      <c r="F141" s="2">
        <f t="shared" si="11"/>
        <v>15</v>
      </c>
      <c r="G141" s="2">
        <f t="shared" si="12"/>
        <v>474</v>
      </c>
      <c r="H141" s="2">
        <f t="shared" si="13"/>
        <v>40</v>
      </c>
      <c r="I141" s="2">
        <f t="shared" si="14"/>
        <v>14.5703125</v>
      </c>
    </row>
    <row r="142" spans="1:9" x14ac:dyDescent="0.2">
      <c r="A142" s="2">
        <v>117</v>
      </c>
      <c r="B142" s="4">
        <f t="shared" si="10"/>
        <v>0.45882352941176469</v>
      </c>
      <c r="C142" s="6">
        <f>$L$7*B142/((1+$L$7)-B142)</f>
        <v>3.8805970149253723E-2</v>
      </c>
      <c r="D142" s="3">
        <f>C142*(1-$L$6) + $L$6</f>
        <v>0.11449053942884005</v>
      </c>
      <c r="E142" s="16">
        <f>E141-E141*$L$5</f>
        <v>1.494511732403777E-2</v>
      </c>
      <c r="F142" s="2">
        <f t="shared" si="11"/>
        <v>15</v>
      </c>
      <c r="G142" s="2">
        <f t="shared" si="12"/>
        <v>470</v>
      </c>
      <c r="H142" s="2">
        <f t="shared" si="13"/>
        <v>39</v>
      </c>
      <c r="I142" s="2">
        <f t="shared" si="14"/>
        <v>14.4560546875</v>
      </c>
    </row>
    <row r="143" spans="1:9" x14ac:dyDescent="0.2">
      <c r="A143" s="2">
        <v>116</v>
      </c>
      <c r="B143" s="4">
        <f t="shared" si="10"/>
        <v>0.45490196078431372</v>
      </c>
      <c r="C143" s="6">
        <f>$L$7*B143/((1+$L$7)-B143)</f>
        <v>3.8220757825370669E-2</v>
      </c>
      <c r="D143" s="3">
        <f>C143*(1-$L$6) + $L$6</f>
        <v>0.11395140681549897</v>
      </c>
      <c r="E143" s="16">
        <f>E142-E142*$L$5</f>
        <v>1.4496763804316637E-2</v>
      </c>
      <c r="F143" s="2">
        <f t="shared" si="11"/>
        <v>14</v>
      </c>
      <c r="G143" s="2">
        <f t="shared" si="12"/>
        <v>466</v>
      </c>
      <c r="H143" s="2">
        <f t="shared" si="13"/>
        <v>38</v>
      </c>
      <c r="I143" s="2">
        <f t="shared" si="14"/>
        <v>14.341796875</v>
      </c>
    </row>
    <row r="144" spans="1:9" x14ac:dyDescent="0.2">
      <c r="A144" s="2">
        <v>115</v>
      </c>
      <c r="B144" s="4">
        <f t="shared" si="10"/>
        <v>0.45098039215686275</v>
      </c>
      <c r="C144" s="6">
        <f>$L$7*B144/((1+$L$7)-B144)</f>
        <v>3.7643207855973811E-2</v>
      </c>
      <c r="D144" s="3">
        <f>C144*(1-$L$6) + $L$6</f>
        <v>0.11341933322164516</v>
      </c>
      <c r="E144" s="16">
        <f>E143-E143*$L$5</f>
        <v>1.4061860890187138E-2</v>
      </c>
      <c r="F144" s="2">
        <f t="shared" si="11"/>
        <v>14</v>
      </c>
      <c r="G144" s="2">
        <f t="shared" si="12"/>
        <v>462</v>
      </c>
      <c r="H144" s="2">
        <f t="shared" si="13"/>
        <v>38</v>
      </c>
      <c r="I144" s="2">
        <f t="shared" si="14"/>
        <v>14.341796875</v>
      </c>
    </row>
    <row r="145" spans="1:9" x14ac:dyDescent="0.2">
      <c r="A145" s="2">
        <v>114</v>
      </c>
      <c r="B145" s="4">
        <f t="shared" si="10"/>
        <v>0.44705882352941179</v>
      </c>
      <c r="C145" s="6">
        <f>$L$7*B145/((1+$L$7)-B145)</f>
        <v>3.7073170731707315E-2</v>
      </c>
      <c r="D145" s="3">
        <f>C145*(1-$L$6) + $L$6</f>
        <v>0.11289418091031303</v>
      </c>
      <c r="E145" s="16">
        <f>E144-E144*$L$5</f>
        <v>1.3640005063481524E-2</v>
      </c>
      <c r="F145" s="2">
        <f t="shared" si="11"/>
        <v>14</v>
      </c>
      <c r="G145" s="2">
        <f t="shared" si="12"/>
        <v>458</v>
      </c>
      <c r="H145" s="2">
        <f t="shared" si="13"/>
        <v>37</v>
      </c>
      <c r="I145" s="2">
        <f t="shared" si="14"/>
        <v>14.2275390625</v>
      </c>
    </row>
    <row r="146" spans="1:9" x14ac:dyDescent="0.2">
      <c r="A146" s="2">
        <v>113</v>
      </c>
      <c r="B146" s="4">
        <f t="shared" si="10"/>
        <v>0.44313725490196076</v>
      </c>
      <c r="C146" s="6">
        <f>$L$7*B146/((1+$L$7)-B146)</f>
        <v>3.6510500807754434E-2</v>
      </c>
      <c r="D146" s="3">
        <f>C146*(1-$L$6) + $L$6</f>
        <v>0.11237581570478164</v>
      </c>
      <c r="E146" s="16">
        <f>E145-E145*$L$5</f>
        <v>1.3230804911577078E-2</v>
      </c>
      <c r="F146" s="2">
        <f t="shared" si="11"/>
        <v>14</v>
      </c>
      <c r="G146" s="2">
        <f t="shared" si="12"/>
        <v>454</v>
      </c>
      <c r="H146" s="2">
        <f t="shared" si="13"/>
        <v>37</v>
      </c>
      <c r="I146" s="2">
        <f t="shared" si="14"/>
        <v>14.2275390625</v>
      </c>
    </row>
    <row r="147" spans="1:9" x14ac:dyDescent="0.2">
      <c r="A147" s="2">
        <v>112</v>
      </c>
      <c r="B147" s="4">
        <f t="shared" si="10"/>
        <v>0.4392156862745098</v>
      </c>
      <c r="C147" s="6">
        <f>$L$7*B147/((1+$L$7)-B147)</f>
        <v>3.5955056179775277E-2</v>
      </c>
      <c r="D147" s="3">
        <f>C147*(1-$L$6) + $L$6</f>
        <v>0.11186410687428117</v>
      </c>
      <c r="E147" s="16">
        <f>E146-E146*$L$5</f>
        <v>1.2833880764229765E-2</v>
      </c>
      <c r="F147" s="2">
        <f t="shared" si="11"/>
        <v>14</v>
      </c>
      <c r="G147" s="2">
        <f t="shared" si="12"/>
        <v>450</v>
      </c>
      <c r="H147" s="2">
        <f t="shared" si="13"/>
        <v>36</v>
      </c>
      <c r="I147" s="2">
        <f t="shared" si="14"/>
        <v>14.11328125</v>
      </c>
    </row>
    <row r="148" spans="1:9" x14ac:dyDescent="0.2">
      <c r="A148" s="2">
        <v>111</v>
      </c>
      <c r="B148" s="4">
        <f t="shared" si="10"/>
        <v>0.43529411764705883</v>
      </c>
      <c r="C148" s="6">
        <f>$L$7*B148/((1+$L$7)-B148)</f>
        <v>3.5406698564593303E-2</v>
      </c>
      <c r="D148" s="3">
        <f>C148*(1-$L$6) + $L$6</f>
        <v>0.11135892702407414</v>
      </c>
      <c r="E148" s="16">
        <f>E147-E147*$L$5</f>
        <v>1.2448864341302872E-2</v>
      </c>
      <c r="F148" s="2">
        <f t="shared" si="11"/>
        <v>14</v>
      </c>
      <c r="G148" s="2">
        <f t="shared" si="12"/>
        <v>446</v>
      </c>
      <c r="H148" s="2">
        <f t="shared" si="13"/>
        <v>36</v>
      </c>
      <c r="I148" s="2">
        <f t="shared" si="14"/>
        <v>14.11328125</v>
      </c>
    </row>
    <row r="149" spans="1:9" x14ac:dyDescent="0.2">
      <c r="A149" s="2">
        <v>110</v>
      </c>
      <c r="B149" s="4">
        <f t="shared" si="10"/>
        <v>0.43137254901960786</v>
      </c>
      <c r="C149" s="6">
        <f>$L$7*B149/((1+$L$7)-B149)</f>
        <v>3.486529318541997E-2</v>
      </c>
      <c r="D149" s="3">
        <f>C149*(1-$L$6) + $L$6</f>
        <v>0.1108601519897176</v>
      </c>
      <c r="E149" s="16">
        <f>E148-E148*$L$5</f>
        <v>1.2075398411063787E-2</v>
      </c>
      <c r="F149" s="2">
        <f t="shared" si="11"/>
        <v>14</v>
      </c>
      <c r="G149" s="2">
        <f t="shared" si="12"/>
        <v>442</v>
      </c>
      <c r="H149" s="2">
        <f t="shared" si="13"/>
        <v>35</v>
      </c>
      <c r="I149" s="2">
        <f t="shared" si="14"/>
        <v>13.9990234375</v>
      </c>
    </row>
    <row r="150" spans="1:9" x14ac:dyDescent="0.2">
      <c r="A150" s="2">
        <v>109</v>
      </c>
      <c r="B150" s="4">
        <f t="shared" si="10"/>
        <v>0.42745098039215684</v>
      </c>
      <c r="C150" s="6">
        <f>$L$7*B150/((1+$L$7)-B150)</f>
        <v>3.4330708661417325E-2</v>
      </c>
      <c r="D150" s="3">
        <f>C150*(1-$L$6) + $L$6</f>
        <v>0.11036766073532148</v>
      </c>
      <c r="E150" s="16">
        <f>E149-E149*$L$5</f>
        <v>1.1713136458731873E-2</v>
      </c>
      <c r="F150" s="2">
        <f t="shared" si="11"/>
        <v>14</v>
      </c>
      <c r="G150" s="2">
        <f t="shared" si="12"/>
        <v>438</v>
      </c>
      <c r="H150" s="2">
        <f t="shared" si="13"/>
        <v>34</v>
      </c>
      <c r="I150" s="2">
        <f t="shared" si="14"/>
        <v>13.884765625</v>
      </c>
    </row>
    <row r="151" spans="1:9" x14ac:dyDescent="0.2">
      <c r="A151" s="2">
        <v>108</v>
      </c>
      <c r="B151" s="4">
        <f t="shared" si="10"/>
        <v>0.42352941176470588</v>
      </c>
      <c r="C151" s="6">
        <f>$L$7*B151/((1+$L$7)-B151)</f>
        <v>3.3802816901408454E-2</v>
      </c>
      <c r="D151" s="3">
        <f>C151*(1-$L$6) + $L$6</f>
        <v>0.10988133525562827</v>
      </c>
      <c r="E151" s="16">
        <f>E150-E150*$L$5</f>
        <v>1.1361742364969916E-2</v>
      </c>
      <c r="F151" s="2">
        <f t="shared" si="11"/>
        <v>14</v>
      </c>
      <c r="G151" s="2">
        <f t="shared" si="12"/>
        <v>434</v>
      </c>
      <c r="H151" s="2">
        <f t="shared" si="13"/>
        <v>34</v>
      </c>
      <c r="I151" s="2">
        <f t="shared" si="14"/>
        <v>13.884765625</v>
      </c>
    </row>
    <row r="152" spans="1:9" x14ac:dyDescent="0.2">
      <c r="A152" s="2">
        <v>107</v>
      </c>
      <c r="B152" s="4">
        <f t="shared" si="10"/>
        <v>0.41960784313725491</v>
      </c>
      <c r="C152" s="6">
        <f>$L$7*B152/((1+$L$7)-B152)</f>
        <v>3.328149300155521E-2</v>
      </c>
      <c r="D152" s="3">
        <f>C152*(1-$L$6) + $L$6</f>
        <v>0.10940106048174772</v>
      </c>
      <c r="E152" s="16">
        <f>E151-E151*$L$5</f>
        <v>1.1020890094020819E-2</v>
      </c>
      <c r="F152" s="2">
        <f t="shared" si="11"/>
        <v>14</v>
      </c>
      <c r="G152" s="2">
        <f t="shared" si="12"/>
        <v>430</v>
      </c>
      <c r="H152" s="2">
        <f t="shared" si="13"/>
        <v>33</v>
      </c>
      <c r="I152" s="2">
        <f t="shared" si="14"/>
        <v>13.7705078125</v>
      </c>
    </row>
    <row r="153" spans="1:9" x14ac:dyDescent="0.2">
      <c r="A153" s="2">
        <v>106</v>
      </c>
      <c r="B153" s="4">
        <f t="shared" si="10"/>
        <v>0.41568627450980394</v>
      </c>
      <c r="C153" s="6">
        <f>$L$7*B153/((1+$L$7)-B153)</f>
        <v>3.2766615146831532E-2</v>
      </c>
      <c r="D153" s="3">
        <f>C153*(1-$L$6) + $L$6</f>
        <v>0.1089267241903881</v>
      </c>
      <c r="E153" s="16">
        <f>E152-E152*$L$5</f>
        <v>1.0690263391200194E-2</v>
      </c>
      <c r="F153" s="2">
        <f t="shared" si="11"/>
        <v>14</v>
      </c>
      <c r="G153" s="2">
        <f t="shared" si="12"/>
        <v>426</v>
      </c>
      <c r="H153" s="2">
        <f t="shared" si="13"/>
        <v>33</v>
      </c>
      <c r="I153" s="2">
        <f t="shared" si="14"/>
        <v>13.7705078125</v>
      </c>
    </row>
    <row r="154" spans="1:9" x14ac:dyDescent="0.2">
      <c r="A154" s="2">
        <v>105</v>
      </c>
      <c r="B154" s="4">
        <f t="shared" si="10"/>
        <v>0.41176470588235292</v>
      </c>
      <c r="C154" s="6">
        <f>$L$7*B154/((1+$L$7)-B154)</f>
        <v>3.2258064516129031E-2</v>
      </c>
      <c r="D154" s="3">
        <f>C154*(1-$L$6) + $L$6</f>
        <v>0.10845821691643383</v>
      </c>
      <c r="E154" s="16">
        <f>E153-E153*$L$5</f>
        <v>1.0369555489464189E-2</v>
      </c>
      <c r="F154" s="2">
        <f t="shared" si="11"/>
        <v>14</v>
      </c>
      <c r="G154" s="2">
        <f t="shared" si="12"/>
        <v>422</v>
      </c>
      <c r="H154" s="2">
        <f t="shared" si="13"/>
        <v>32</v>
      </c>
      <c r="I154" s="2">
        <f t="shared" si="14"/>
        <v>13.65625</v>
      </c>
    </row>
    <row r="155" spans="1:9" x14ac:dyDescent="0.2">
      <c r="A155" s="2">
        <v>104</v>
      </c>
      <c r="B155" s="4">
        <f t="shared" si="10"/>
        <v>0.40784313725490196</v>
      </c>
      <c r="C155" s="6">
        <f>$L$7*B155/((1+$L$7)-B155)</f>
        <v>3.1755725190839697E-2</v>
      </c>
      <c r="D155" s="3">
        <f>C155*(1-$L$6) + $L$6</f>
        <v>0.10799543186872633</v>
      </c>
      <c r="E155" s="16">
        <f>E154-E154*$L$5</f>
        <v>1.0058468824780262E-2</v>
      </c>
      <c r="F155" s="2">
        <f t="shared" si="11"/>
        <v>14</v>
      </c>
      <c r="G155" s="2">
        <f t="shared" si="12"/>
        <v>418</v>
      </c>
      <c r="H155" s="2">
        <f t="shared" si="13"/>
        <v>32</v>
      </c>
      <c r="I155" s="2">
        <f t="shared" si="14"/>
        <v>13.65625</v>
      </c>
    </row>
    <row r="156" spans="1:9" x14ac:dyDescent="0.2">
      <c r="A156" s="2">
        <v>103</v>
      </c>
      <c r="B156" s="4">
        <f t="shared" si="10"/>
        <v>0.40392156862745099</v>
      </c>
      <c r="C156" s="6">
        <f>$L$7*B156/((1+$L$7)-B156)</f>
        <v>3.1259484066767831E-2</v>
      </c>
      <c r="D156" s="3">
        <f>C156*(1-$L$6) + $L$6</f>
        <v>0.1075382648489121</v>
      </c>
      <c r="E156" s="16">
        <f>E155-E155*$L$5</f>
        <v>9.7567147600368543E-3</v>
      </c>
      <c r="F156" s="2">
        <f t="shared" si="11"/>
        <v>14</v>
      </c>
      <c r="G156" s="2">
        <f t="shared" si="12"/>
        <v>414</v>
      </c>
      <c r="H156" s="2">
        <f t="shared" si="13"/>
        <v>31</v>
      </c>
      <c r="I156" s="2">
        <f t="shared" si="14"/>
        <v>13.5419921875</v>
      </c>
    </row>
    <row r="157" spans="1:9" x14ac:dyDescent="0.2">
      <c r="A157" s="2">
        <v>102</v>
      </c>
      <c r="B157" s="4">
        <f t="shared" si="10"/>
        <v>0.4</v>
      </c>
      <c r="C157" s="6">
        <f>$L$7*B157/((1+$L$7)-B157)</f>
        <v>3.0769230769230774E-2</v>
      </c>
      <c r="D157" s="3">
        <f>C157*(1-$L$6) + $L$6</f>
        <v>0.10708661417322834</v>
      </c>
      <c r="E157" s="16">
        <f>E156-E156*$L$5</f>
        <v>9.4640133172357484E-3</v>
      </c>
      <c r="F157" s="2">
        <f t="shared" si="11"/>
        <v>14</v>
      </c>
      <c r="G157" s="2">
        <f t="shared" si="12"/>
        <v>410</v>
      </c>
      <c r="H157" s="2">
        <f t="shared" si="13"/>
        <v>31</v>
      </c>
      <c r="I157" s="2">
        <f t="shared" si="14"/>
        <v>13.5419921875</v>
      </c>
    </row>
    <row r="158" spans="1:9" x14ac:dyDescent="0.2">
      <c r="A158" s="2">
        <v>101</v>
      </c>
      <c r="B158" s="4">
        <f t="shared" si="10"/>
        <v>0.396078431372549</v>
      </c>
      <c r="C158" s="6">
        <f>$L$7*B158/((1+$L$7)-B158)</f>
        <v>3.028485757121439E-2</v>
      </c>
      <c r="D158" s="3">
        <f>C158*(1-$L$6) + $L$6</f>
        <v>0.10664038059710301</v>
      </c>
      <c r="E158" s="16">
        <f>E157-E157*$L$5</f>
        <v>9.1800929177186762E-3</v>
      </c>
      <c r="F158" s="2">
        <f t="shared" si="11"/>
        <v>14</v>
      </c>
      <c r="G158" s="2">
        <f t="shared" si="12"/>
        <v>406</v>
      </c>
      <c r="H158" s="2">
        <f t="shared" si="13"/>
        <v>30</v>
      </c>
      <c r="I158" s="2">
        <f t="shared" si="14"/>
        <v>13.427734375</v>
      </c>
    </row>
    <row r="159" spans="1:9" x14ac:dyDescent="0.2">
      <c r="A159" s="2">
        <v>100</v>
      </c>
      <c r="B159" s="4">
        <f t="shared" si="10"/>
        <v>0.39215686274509803</v>
      </c>
      <c r="C159" s="6">
        <f>$L$7*B159/((1+$L$7)-B159)</f>
        <v>2.9806259314456032E-2</v>
      </c>
      <c r="D159" s="3">
        <f>C159*(1-$L$6) + $L$6</f>
        <v>0.10619946724245162</v>
      </c>
      <c r="E159" s="16">
        <f>E158-E158*$L$5</f>
        <v>8.9046901301871161E-3</v>
      </c>
      <c r="F159" s="2">
        <f t="shared" si="11"/>
        <v>13</v>
      </c>
      <c r="G159" s="2">
        <f t="shared" si="12"/>
        <v>402</v>
      </c>
      <c r="H159" s="2">
        <f t="shared" si="13"/>
        <v>30</v>
      </c>
      <c r="I159" s="2">
        <f t="shared" si="14"/>
        <v>13.427734375</v>
      </c>
    </row>
    <row r="160" spans="1:9" x14ac:dyDescent="0.2">
      <c r="A160" s="2">
        <v>99</v>
      </c>
      <c r="B160" s="4">
        <f t="shared" si="10"/>
        <v>0.38823529411764707</v>
      </c>
      <c r="C160" s="6">
        <f>$L$7*B160/((1+$L$7)-B160)</f>
        <v>2.9333333333333329E-2</v>
      </c>
      <c r="D160" s="3">
        <f>C160*(1-$L$6) + $L$6</f>
        <v>0.10576377952755905</v>
      </c>
      <c r="E160" s="16">
        <f>E159-E159*$L$5</f>
        <v>8.6375494262815027E-3</v>
      </c>
      <c r="F160" s="2">
        <f t="shared" si="11"/>
        <v>13</v>
      </c>
      <c r="G160" s="2">
        <f t="shared" si="12"/>
        <v>398</v>
      </c>
      <c r="H160" s="2">
        <f t="shared" si="13"/>
        <v>29</v>
      </c>
      <c r="I160" s="2">
        <f t="shared" si="14"/>
        <v>13.3134765625</v>
      </c>
    </row>
    <row r="161" spans="1:9" x14ac:dyDescent="0.2">
      <c r="A161" s="2">
        <v>98</v>
      </c>
      <c r="B161" s="4">
        <f t="shared" si="10"/>
        <v>0.3843137254901961</v>
      </c>
      <c r="C161" s="6">
        <f>$L$7*B161/((1+$L$7)-B161)</f>
        <v>2.88659793814433E-2</v>
      </c>
      <c r="D161" s="3">
        <f>C161*(1-$L$6) + $L$6</f>
        <v>0.10533322509943989</v>
      </c>
      <c r="E161" s="16">
        <f>E160-E160*$L$5</f>
        <v>8.3784229434930579E-3</v>
      </c>
      <c r="F161" s="2">
        <f t="shared" si="11"/>
        <v>13</v>
      </c>
      <c r="G161" s="2">
        <f t="shared" si="12"/>
        <v>394</v>
      </c>
      <c r="H161" s="2">
        <f t="shared" si="13"/>
        <v>29</v>
      </c>
      <c r="I161" s="2">
        <f t="shared" si="14"/>
        <v>13.3134765625</v>
      </c>
    </row>
    <row r="162" spans="1:9" x14ac:dyDescent="0.2">
      <c r="A162" s="2">
        <v>97</v>
      </c>
      <c r="B162" s="4">
        <f t="shared" si="10"/>
        <v>0.38039215686274508</v>
      </c>
      <c r="C162" s="6">
        <f>$L$7*B162/((1+$L$7)-B162)</f>
        <v>2.8404099560761346E-2</v>
      </c>
      <c r="D162" s="3">
        <f>C162*(1-$L$6) + $L$6</f>
        <v>0.10490771376857541</v>
      </c>
      <c r="E162" s="16">
        <f>E161-E161*$L$5</f>
        <v>8.1270702551882665E-3</v>
      </c>
      <c r="F162" s="2">
        <f t="shared" si="11"/>
        <v>13</v>
      </c>
      <c r="G162" s="2">
        <f t="shared" si="12"/>
        <v>390</v>
      </c>
      <c r="H162" s="2">
        <f t="shared" si="13"/>
        <v>29</v>
      </c>
      <c r="I162" s="2">
        <f t="shared" si="14"/>
        <v>13.3134765625</v>
      </c>
    </row>
    <row r="163" spans="1:9" x14ac:dyDescent="0.2">
      <c r="A163" s="2">
        <v>96</v>
      </c>
      <c r="B163" s="4">
        <f t="shared" si="10"/>
        <v>0.37647058823529411</v>
      </c>
      <c r="C163" s="6">
        <f>$L$7*B163/((1+$L$7)-B163)</f>
        <v>2.794759825327511E-2</v>
      </c>
      <c r="D163" s="3">
        <f>C163*(1-$L$6) + $L$6</f>
        <v>0.10448715744593061</v>
      </c>
      <c r="E163" s="16">
        <f>E162-E162*$L$5</f>
        <v>7.8832581475326187E-3</v>
      </c>
      <c r="F163" s="2">
        <f t="shared" si="11"/>
        <v>13</v>
      </c>
      <c r="G163" s="2">
        <f t="shared" si="12"/>
        <v>386</v>
      </c>
      <c r="H163" s="2">
        <f t="shared" si="13"/>
        <v>28</v>
      </c>
      <c r="I163" s="2">
        <f t="shared" si="14"/>
        <v>13.19921875</v>
      </c>
    </row>
    <row r="164" spans="1:9" x14ac:dyDescent="0.2">
      <c r="A164" s="2">
        <v>95</v>
      </c>
      <c r="B164" s="4">
        <f t="shared" si="10"/>
        <v>0.37254901960784315</v>
      </c>
      <c r="C164" s="6">
        <f>$L$7*B164/((1+$L$7)-B164)</f>
        <v>2.7496382054992764E-2</v>
      </c>
      <c r="D164" s="3">
        <f>C164*(1-$L$6) + $L$6</f>
        <v>0.1040714700821587</v>
      </c>
      <c r="E164" s="16">
        <f>E163-E163*$L$5</f>
        <v>7.6467604031066399E-3</v>
      </c>
      <c r="F164" s="2">
        <f t="shared" si="11"/>
        <v>13</v>
      </c>
      <c r="G164" s="2">
        <f t="shared" si="12"/>
        <v>381</v>
      </c>
      <c r="H164" s="2">
        <f t="shared" si="13"/>
        <v>27</v>
      </c>
      <c r="I164" s="2">
        <f t="shared" si="14"/>
        <v>13.0849609375</v>
      </c>
    </row>
    <row r="165" spans="1:9" x14ac:dyDescent="0.2">
      <c r="A165" s="2">
        <v>94</v>
      </c>
      <c r="B165" s="4">
        <f t="shared" si="10"/>
        <v>0.36862745098039218</v>
      </c>
      <c r="C165" s="6">
        <f>$L$7*B165/((1+$L$7)-B165)</f>
        <v>2.7050359712230215E-2</v>
      </c>
      <c r="D165" s="3">
        <f>C165*(1-$L$6) + $L$6</f>
        <v>0.103660567608905</v>
      </c>
      <c r="E165" s="16">
        <f>E164-E164*$L$5</f>
        <v>7.4173575910134407E-3</v>
      </c>
      <c r="F165" s="2">
        <f t="shared" si="11"/>
        <v>13</v>
      </c>
      <c r="G165" s="2">
        <f t="shared" si="12"/>
        <v>377</v>
      </c>
      <c r="H165" s="2">
        <f t="shared" si="13"/>
        <v>27</v>
      </c>
      <c r="I165" s="2">
        <f t="shared" si="14"/>
        <v>13.0849609375</v>
      </c>
    </row>
    <row r="166" spans="1:9" x14ac:dyDescent="0.2">
      <c r="A166" s="2">
        <v>93</v>
      </c>
      <c r="B166" s="4">
        <f t="shared" si="10"/>
        <v>0.36470588235294116</v>
      </c>
      <c r="C166" s="6">
        <f>$L$7*B166/((1+$L$7)-B166)</f>
        <v>2.6609442060085836E-2</v>
      </c>
      <c r="D166" s="3">
        <f>C166*(1-$L$6) + $L$6</f>
        <v>0.10325436788212632</v>
      </c>
      <c r="E166" s="16">
        <f>E165-E165*$L$5</f>
        <v>7.1948368632830375E-3</v>
      </c>
      <c r="F166" s="2">
        <f t="shared" si="11"/>
        <v>13</v>
      </c>
      <c r="G166" s="2">
        <f t="shared" si="12"/>
        <v>373</v>
      </c>
      <c r="H166" s="2">
        <f t="shared" si="13"/>
        <v>27</v>
      </c>
      <c r="I166" s="2">
        <f t="shared" si="14"/>
        <v>13.0849609375</v>
      </c>
    </row>
    <row r="167" spans="1:9" x14ac:dyDescent="0.2">
      <c r="A167" s="2">
        <v>92</v>
      </c>
      <c r="B167" s="4">
        <f t="shared" si="10"/>
        <v>0.36078431372549019</v>
      </c>
      <c r="C167" s="6">
        <f>$L$7*B167/((1+$L$7)-B167)</f>
        <v>2.6173541963015648E-2</v>
      </c>
      <c r="D167" s="3">
        <f>C167*(1-$L$6) + $L$6</f>
        <v>0.10285279062734512</v>
      </c>
      <c r="E167" s="16">
        <f>E166-E166*$L$5</f>
        <v>6.9789917573845461E-3</v>
      </c>
      <c r="F167" s="2">
        <f t="shared" si="11"/>
        <v>13</v>
      </c>
      <c r="G167" s="2">
        <f t="shared" si="12"/>
        <v>369</v>
      </c>
      <c r="H167" s="2">
        <f t="shared" si="13"/>
        <v>26</v>
      </c>
      <c r="I167" s="2">
        <f t="shared" si="14"/>
        <v>12.970703125</v>
      </c>
    </row>
    <row r="168" spans="1:9" x14ac:dyDescent="0.2">
      <c r="A168" s="2">
        <v>91</v>
      </c>
      <c r="B168" s="4">
        <f t="shared" si="10"/>
        <v>0.35686274509803922</v>
      </c>
      <c r="C168" s="6">
        <f>$L$7*B168/((1+$L$7)-B168)</f>
        <v>2.5742574257425745E-2</v>
      </c>
      <c r="D168" s="3">
        <f>C168*(1-$L$6) + $L$6</f>
        <v>0.1024557573867623</v>
      </c>
      <c r="E168" s="16">
        <f>E167-E167*$L$5</f>
        <v>6.7696220046630099E-3</v>
      </c>
      <c r="F168" s="2">
        <f t="shared" si="11"/>
        <v>13</v>
      </c>
      <c r="G168" s="2">
        <f t="shared" si="12"/>
        <v>365</v>
      </c>
      <c r="H168" s="2">
        <f t="shared" si="13"/>
        <v>26</v>
      </c>
      <c r="I168" s="2">
        <f t="shared" si="14"/>
        <v>12.970703125</v>
      </c>
    </row>
    <row r="169" spans="1:9" x14ac:dyDescent="0.2">
      <c r="A169" s="2">
        <v>90</v>
      </c>
      <c r="B169" s="4">
        <f t="shared" si="10"/>
        <v>0.35294117647058826</v>
      </c>
      <c r="C169" s="6">
        <f>$L$7*B169/((1+$L$7)-B169)</f>
        <v>2.5316455696202538E-2</v>
      </c>
      <c r="D169" s="3">
        <f>C169*(1-$L$6) + $L$6</f>
        <v>0.1020631914681551</v>
      </c>
      <c r="E169" s="16">
        <f>E168-E168*$L$5</f>
        <v>6.5665333445231195E-3</v>
      </c>
      <c r="F169" s="2">
        <f t="shared" si="11"/>
        <v>13</v>
      </c>
      <c r="G169" s="2">
        <f t="shared" si="12"/>
        <v>361</v>
      </c>
      <c r="H169" s="2">
        <f t="shared" si="13"/>
        <v>25</v>
      </c>
      <c r="I169" s="2">
        <f t="shared" si="14"/>
        <v>12.8564453125</v>
      </c>
    </row>
    <row r="170" spans="1:9" x14ac:dyDescent="0.2">
      <c r="A170" s="2">
        <v>89</v>
      </c>
      <c r="B170" s="4">
        <f t="shared" si="10"/>
        <v>0.34901960784313724</v>
      </c>
      <c r="C170" s="6">
        <f>$L$7*B170/((1+$L$7)-B170)</f>
        <v>2.4895104895104894E-2</v>
      </c>
      <c r="D170" s="3">
        <f>C170*(1-$L$6) + $L$6</f>
        <v>0.10167501789549033</v>
      </c>
      <c r="E170" s="16">
        <f>E169-E169*$L$5</f>
        <v>6.3695373441874257E-3</v>
      </c>
      <c r="F170" s="2">
        <f t="shared" si="11"/>
        <v>13</v>
      </c>
      <c r="G170" s="2">
        <f t="shared" si="12"/>
        <v>357</v>
      </c>
      <c r="H170" s="2">
        <f t="shared" si="13"/>
        <v>25</v>
      </c>
      <c r="I170" s="2">
        <f t="shared" si="14"/>
        <v>12.8564453125</v>
      </c>
    </row>
    <row r="171" spans="1:9" x14ac:dyDescent="0.2">
      <c r="A171" s="2">
        <v>88</v>
      </c>
      <c r="B171" s="4">
        <f t="shared" si="10"/>
        <v>0.34509803921568627</v>
      </c>
      <c r="C171" s="6">
        <f>$L$7*B171/((1+$L$7)-B171)</f>
        <v>2.4478442280945756E-2</v>
      </c>
      <c r="D171" s="3">
        <f>C171*(1-$L$6) + $L$6</f>
        <v>0.10129116336118625</v>
      </c>
      <c r="E171" s="16">
        <f>E170-E170*$L$5</f>
        <v>6.178451223861803E-3</v>
      </c>
      <c r="F171" s="2">
        <f t="shared" si="11"/>
        <v>13</v>
      </c>
      <c r="G171" s="2">
        <f t="shared" si="12"/>
        <v>353</v>
      </c>
      <c r="H171" s="2">
        <f t="shared" si="13"/>
        <v>24</v>
      </c>
      <c r="I171" s="2">
        <f t="shared" si="14"/>
        <v>12.7421875</v>
      </c>
    </row>
    <row r="172" spans="1:9" x14ac:dyDescent="0.2">
      <c r="A172" s="2">
        <v>87</v>
      </c>
      <c r="B172" s="4">
        <f t="shared" si="10"/>
        <v>0.3411764705882353</v>
      </c>
      <c r="C172" s="6">
        <f>$L$7*B172/((1+$L$7)-B172)</f>
        <v>2.4066390041493774E-2</v>
      </c>
      <c r="D172" s="3">
        <f>C172*(1-$L$6) + $L$6</f>
        <v>0.10091155617995884</v>
      </c>
      <c r="E172" s="16">
        <f>E171-E171*$L$5</f>
        <v>5.9930976871459488E-3</v>
      </c>
      <c r="F172" s="2">
        <f t="shared" si="11"/>
        <v>13</v>
      </c>
      <c r="G172" s="2">
        <f t="shared" si="12"/>
        <v>349</v>
      </c>
      <c r="H172" s="2">
        <f t="shared" si="13"/>
        <v>24</v>
      </c>
      <c r="I172" s="2">
        <f t="shared" si="14"/>
        <v>12.7421875</v>
      </c>
    </row>
    <row r="173" spans="1:9" x14ac:dyDescent="0.2">
      <c r="A173" s="2">
        <v>86</v>
      </c>
      <c r="B173" s="4">
        <f t="shared" si="10"/>
        <v>0.33725490196078434</v>
      </c>
      <c r="C173" s="6">
        <f>$L$7*B173/((1+$L$7)-B173)</f>
        <v>2.3658872077028888E-2</v>
      </c>
      <c r="D173" s="3">
        <f>C173*(1-$L$6) + $L$6</f>
        <v>0.10053612624419198</v>
      </c>
      <c r="E173" s="16">
        <f>E172-E172*$L$5</f>
        <v>5.8133047565315701E-3</v>
      </c>
      <c r="F173" s="2">
        <f t="shared" si="11"/>
        <v>13</v>
      </c>
      <c r="G173" s="2">
        <f t="shared" si="12"/>
        <v>345</v>
      </c>
      <c r="H173" s="2">
        <f t="shared" si="13"/>
        <v>24</v>
      </c>
      <c r="I173" s="2">
        <f t="shared" si="14"/>
        <v>12.7421875</v>
      </c>
    </row>
    <row r="174" spans="1:9" x14ac:dyDescent="0.2">
      <c r="A174" s="2">
        <v>85</v>
      </c>
      <c r="B174" s="4">
        <f t="shared" si="10"/>
        <v>0.33333333333333331</v>
      </c>
      <c r="C174" s="6">
        <f>$L$7*B174/((1+$L$7)-B174)</f>
        <v>2.3255813953488368E-2</v>
      </c>
      <c r="D174" s="3">
        <f>C174*(1-$L$6) + $L$6</f>
        <v>0.10016480498077275</v>
      </c>
      <c r="E174" s="16">
        <f>E173-E173*$L$5</f>
        <v>5.6389056138356226E-3</v>
      </c>
      <c r="F174" s="2">
        <f t="shared" si="11"/>
        <v>13</v>
      </c>
      <c r="G174" s="2">
        <f t="shared" si="12"/>
        <v>341</v>
      </c>
      <c r="H174" s="2">
        <f t="shared" si="13"/>
        <v>23</v>
      </c>
      <c r="I174" s="2">
        <f t="shared" si="14"/>
        <v>12.6279296875</v>
      </c>
    </row>
    <row r="175" spans="1:9" x14ac:dyDescent="0.2">
      <c r="A175" s="2">
        <v>84</v>
      </c>
      <c r="B175" s="4">
        <f t="shared" si="10"/>
        <v>0.32941176470588235</v>
      </c>
      <c r="C175" s="6">
        <f>$L$7*B175/((1+$L$7)-B175)</f>
        <v>2.2857142857142857E-2</v>
      </c>
      <c r="D175" s="3">
        <f>C175*(1-$L$6) + $L$6</f>
        <v>9.9797525309336332E-2</v>
      </c>
      <c r="E175" s="16">
        <f>E174-E174*$L$5</f>
        <v>5.4697384454205538E-3</v>
      </c>
      <c r="F175" s="2">
        <f t="shared" si="11"/>
        <v>13</v>
      </c>
      <c r="G175" s="2">
        <f t="shared" si="12"/>
        <v>337</v>
      </c>
      <c r="H175" s="2">
        <f t="shared" si="13"/>
        <v>23</v>
      </c>
      <c r="I175" s="2">
        <f t="shared" si="14"/>
        <v>12.6279296875</v>
      </c>
    </row>
    <row r="176" spans="1:9" x14ac:dyDescent="0.2">
      <c r="A176" s="2">
        <v>83</v>
      </c>
      <c r="B176" s="4">
        <f t="shared" si="10"/>
        <v>0.32549019607843138</v>
      </c>
      <c r="C176" s="6">
        <f>$L$7*B176/((1+$L$7)-B176)</f>
        <v>2.246278755074425E-2</v>
      </c>
      <c r="D176" s="3">
        <f>C176*(1-$L$6) + $L$6</f>
        <v>9.9434221601866754E-2</v>
      </c>
      <c r="E176" s="16">
        <f>E175-E175*$L$5</f>
        <v>5.3056462920579375E-3</v>
      </c>
      <c r="F176" s="2">
        <f t="shared" si="11"/>
        <v>13</v>
      </c>
      <c r="G176" s="2">
        <f t="shared" si="12"/>
        <v>333</v>
      </c>
      <c r="H176" s="2">
        <f t="shared" si="13"/>
        <v>22</v>
      </c>
      <c r="I176" s="2">
        <f t="shared" si="14"/>
        <v>12.513671875</v>
      </c>
    </row>
    <row r="177" spans="1:9" x14ac:dyDescent="0.2">
      <c r="A177" s="2">
        <v>82</v>
      </c>
      <c r="B177" s="4">
        <f t="shared" si="10"/>
        <v>0.32156862745098042</v>
      </c>
      <c r="C177" s="6">
        <f>$L$7*B177/((1+$L$7)-B177)</f>
        <v>2.2072678331090174E-2</v>
      </c>
      <c r="D177" s="3">
        <f>C177*(1-$L$6) + $L$6</f>
        <v>9.9074829643602758E-2</v>
      </c>
      <c r="E177" s="16">
        <f>E176-E176*$L$5</f>
        <v>5.1464769032961996E-3</v>
      </c>
      <c r="F177" s="2">
        <f t="shared" si="11"/>
        <v>13</v>
      </c>
      <c r="G177" s="2">
        <f t="shared" si="12"/>
        <v>329</v>
      </c>
      <c r="H177" s="2">
        <f t="shared" si="13"/>
        <v>22</v>
      </c>
      <c r="I177" s="2">
        <f t="shared" si="14"/>
        <v>12.513671875</v>
      </c>
    </row>
    <row r="178" spans="1:9" x14ac:dyDescent="0.2">
      <c r="A178" s="2">
        <v>81</v>
      </c>
      <c r="B178" s="4">
        <f t="shared" si="10"/>
        <v>0.31764705882352939</v>
      </c>
      <c r="C178" s="6">
        <f>$L$7*B178/((1+$L$7)-B178)</f>
        <v>2.1686746987951804E-2</v>
      </c>
      <c r="D178" s="3">
        <f>C178*(1-$L$6) + $L$6</f>
        <v>9.8719286595199685E-2</v>
      </c>
      <c r="E178" s="16">
        <f>E177-E177*$L$5</f>
        <v>4.9920825961973139E-3</v>
      </c>
      <c r="F178" s="2">
        <f t="shared" si="11"/>
        <v>13</v>
      </c>
      <c r="G178" s="2">
        <f t="shared" si="12"/>
        <v>325</v>
      </c>
      <c r="H178" s="2">
        <f t="shared" si="13"/>
        <v>22</v>
      </c>
      <c r="I178" s="2">
        <f t="shared" si="14"/>
        <v>12.513671875</v>
      </c>
    </row>
    <row r="179" spans="1:9" x14ac:dyDescent="0.2">
      <c r="A179" s="2">
        <v>80</v>
      </c>
      <c r="B179" s="4">
        <f t="shared" si="10"/>
        <v>0.31372549019607843</v>
      </c>
      <c r="C179" s="6">
        <f>$L$7*B179/((1+$L$7)-B179)</f>
        <v>2.1304926764314246E-2</v>
      </c>
      <c r="D179" s="3">
        <f>C179*(1-$L$6) + $L$6</f>
        <v>9.8367530956100527E-2</v>
      </c>
      <c r="E179" s="16">
        <f>E178-E178*$L$5</f>
        <v>4.8423201183113943E-3</v>
      </c>
      <c r="F179" s="2">
        <f t="shared" si="11"/>
        <v>12</v>
      </c>
      <c r="G179" s="2">
        <f t="shared" si="12"/>
        <v>321</v>
      </c>
      <c r="H179" s="2">
        <f t="shared" si="13"/>
        <v>21</v>
      </c>
      <c r="I179" s="2">
        <f t="shared" si="14"/>
        <v>12.3994140625</v>
      </c>
    </row>
    <row r="180" spans="1:9" x14ac:dyDescent="0.2">
      <c r="A180" s="2">
        <v>79</v>
      </c>
      <c r="B180" s="4">
        <f t="shared" si="10"/>
        <v>0.30980392156862746</v>
      </c>
      <c r="C180" s="6">
        <f>$L$7*B180/((1+$L$7)-B180)</f>
        <v>2.0927152317880796E-2</v>
      </c>
      <c r="D180" s="3">
        <f>C180*(1-$L$6) + $L$6</f>
        <v>9.8019502529071281E-2</v>
      </c>
      <c r="E180" s="16">
        <f>E179-E179*$L$5</f>
        <v>4.6970505147620528E-3</v>
      </c>
      <c r="F180" s="2">
        <f t="shared" si="11"/>
        <v>12</v>
      </c>
      <c r="G180" s="2">
        <f t="shared" si="12"/>
        <v>317</v>
      </c>
      <c r="H180" s="2">
        <f t="shared" si="13"/>
        <v>21</v>
      </c>
      <c r="I180" s="2">
        <f t="shared" si="14"/>
        <v>12.3994140625</v>
      </c>
    </row>
    <row r="181" spans="1:9" x14ac:dyDescent="0.2">
      <c r="A181" s="2">
        <v>78</v>
      </c>
      <c r="B181" s="4">
        <f t="shared" si="10"/>
        <v>0.30588235294117649</v>
      </c>
      <c r="C181" s="6">
        <f>$L$7*B181/((1+$L$7)-B181)</f>
        <v>2.0553359683794469E-2</v>
      </c>
      <c r="D181" s="3">
        <f>C181*(1-$L$6) + $L$6</f>
        <v>9.7675142385857894E-2</v>
      </c>
      <c r="E181" s="16">
        <f>E180-E180*$L$5</f>
        <v>4.5561389993191911E-3</v>
      </c>
      <c r="F181" s="2">
        <f t="shared" si="11"/>
        <v>12</v>
      </c>
      <c r="G181" s="2">
        <f t="shared" si="12"/>
        <v>313</v>
      </c>
      <c r="H181" s="2">
        <f t="shared" si="13"/>
        <v>21</v>
      </c>
      <c r="I181" s="2">
        <f t="shared" si="14"/>
        <v>12.3994140625</v>
      </c>
    </row>
    <row r="182" spans="1:9" x14ac:dyDescent="0.2">
      <c r="A182" s="2">
        <v>77</v>
      </c>
      <c r="B182" s="4">
        <f t="shared" si="10"/>
        <v>0.30196078431372547</v>
      </c>
      <c r="C182" s="6">
        <f>$L$7*B182/((1+$L$7)-B182)</f>
        <v>2.0183486238532111E-2</v>
      </c>
      <c r="D182" s="3">
        <f>C182*(1-$L$6) + $L$6</f>
        <v>9.7334392833923283E-2</v>
      </c>
      <c r="E182" s="16">
        <f>E181-E181*$L$5</f>
        <v>4.4194548293396158E-3</v>
      </c>
      <c r="F182" s="2">
        <f t="shared" si="11"/>
        <v>12</v>
      </c>
      <c r="G182" s="2">
        <f t="shared" si="12"/>
        <v>309</v>
      </c>
      <c r="H182" s="2">
        <f t="shared" si="13"/>
        <v>20</v>
      </c>
      <c r="I182" s="2">
        <f t="shared" si="14"/>
        <v>12.28515625</v>
      </c>
    </row>
    <row r="183" spans="1:9" x14ac:dyDescent="0.2">
      <c r="A183" s="2">
        <v>76</v>
      </c>
      <c r="B183" s="4">
        <f t="shared" si="10"/>
        <v>0.29803921568627451</v>
      </c>
      <c r="C183" s="6">
        <f>$L$7*B183/((1+$L$7)-B183)</f>
        <v>1.9817470664928293E-2</v>
      </c>
      <c r="D183" s="3">
        <f>C183*(1-$L$6) + $L$6</f>
        <v>9.699719738422527E-2</v>
      </c>
      <c r="E183" s="16">
        <f>E182-E182*$L$5</f>
        <v>4.2868711844594272E-3</v>
      </c>
      <c r="F183" s="2">
        <f t="shared" si="11"/>
        <v>12</v>
      </c>
      <c r="G183" s="2">
        <f t="shared" si="12"/>
        <v>305</v>
      </c>
      <c r="H183" s="2">
        <f t="shared" si="13"/>
        <v>20</v>
      </c>
      <c r="I183" s="2">
        <f t="shared" si="14"/>
        <v>12.28515625</v>
      </c>
    </row>
    <row r="184" spans="1:9" x14ac:dyDescent="0.2">
      <c r="A184" s="2">
        <v>75</v>
      </c>
      <c r="B184" s="4">
        <f t="shared" si="10"/>
        <v>0.29411764705882354</v>
      </c>
      <c r="C184" s="6">
        <f>$L$7*B184/((1+$L$7)-B184)</f>
        <v>1.9455252918287941E-2</v>
      </c>
      <c r="D184" s="3">
        <f>C184*(1-$L$6) + $L$6</f>
        <v>9.6663500719997547E-2</v>
      </c>
      <c r="E184" s="16">
        <f>E183-E183*$L$5</f>
        <v>4.1582650489256443E-3</v>
      </c>
      <c r="F184" s="2">
        <f t="shared" si="11"/>
        <v>12</v>
      </c>
      <c r="G184" s="2">
        <f t="shared" si="12"/>
        <v>301</v>
      </c>
      <c r="H184" s="2">
        <f t="shared" si="13"/>
        <v>19</v>
      </c>
      <c r="I184" s="2">
        <f t="shared" si="14"/>
        <v>12.1708984375</v>
      </c>
    </row>
    <row r="185" spans="1:9" x14ac:dyDescent="0.2">
      <c r="A185" s="2">
        <v>74</v>
      </c>
      <c r="B185" s="4">
        <f t="shared" si="10"/>
        <v>0.29019607843137257</v>
      </c>
      <c r="C185" s="6">
        <f>$L$7*B185/((1+$L$7)-B185)</f>
        <v>1.909677419354839E-2</v>
      </c>
      <c r="D185" s="3">
        <f>C185*(1-$L$6) + $L$6</f>
        <v>9.633324866649734E-2</v>
      </c>
      <c r="E185" s="16">
        <f>E184-E184*$L$5</f>
        <v>4.0335170974578746E-3</v>
      </c>
      <c r="F185" s="2">
        <f t="shared" si="11"/>
        <v>12</v>
      </c>
      <c r="G185" s="2">
        <f t="shared" si="12"/>
        <v>297</v>
      </c>
      <c r="H185" s="2">
        <f t="shared" si="13"/>
        <v>19</v>
      </c>
      <c r="I185" s="2">
        <f t="shared" si="14"/>
        <v>12.1708984375</v>
      </c>
    </row>
    <row r="186" spans="1:9" x14ac:dyDescent="0.2">
      <c r="A186" s="2">
        <v>73</v>
      </c>
      <c r="B186" s="4">
        <f t="shared" si="10"/>
        <v>0.28627450980392155</v>
      </c>
      <c r="C186" s="6">
        <f>$L$7*B186/((1+$L$7)-B186)</f>
        <v>1.8741976893453142E-2</v>
      </c>
      <c r="D186" s="3">
        <f>C186*(1-$L$6) + $L$6</f>
        <v>9.6006388161685177E-2</v>
      </c>
      <c r="E186" s="16">
        <f>E185-E185*$L$5</f>
        <v>3.9125115845341386E-3</v>
      </c>
      <c r="F186" s="2">
        <f t="shared" si="11"/>
        <v>12</v>
      </c>
      <c r="G186" s="2">
        <f t="shared" si="12"/>
        <v>293</v>
      </c>
      <c r="H186" s="2">
        <f t="shared" si="13"/>
        <v>19</v>
      </c>
      <c r="I186" s="2">
        <f t="shared" si="14"/>
        <v>12.1708984375</v>
      </c>
    </row>
    <row r="187" spans="1:9" x14ac:dyDescent="0.2">
      <c r="A187" s="2">
        <v>72</v>
      </c>
      <c r="B187" s="4">
        <f t="shared" si="10"/>
        <v>0.28235294117647058</v>
      </c>
      <c r="C187" s="6">
        <f>$L$7*B187/((1+$L$7)-B187)</f>
        <v>1.8390804597701149E-2</v>
      </c>
      <c r="D187" s="3">
        <f>C187*(1-$L$6) + $L$6</f>
        <v>9.568286722780342E-2</v>
      </c>
      <c r="E187" s="16">
        <f>E186-E186*$L$5</f>
        <v>3.7951362369981144E-3</v>
      </c>
      <c r="F187" s="2">
        <f t="shared" si="11"/>
        <v>12</v>
      </c>
      <c r="G187" s="2">
        <f t="shared" si="12"/>
        <v>289</v>
      </c>
      <c r="H187" s="2">
        <f t="shared" si="13"/>
        <v>18</v>
      </c>
      <c r="I187" s="2">
        <f t="shared" si="14"/>
        <v>12.056640625</v>
      </c>
    </row>
    <row r="188" spans="1:9" x14ac:dyDescent="0.2">
      <c r="A188" s="2">
        <v>71</v>
      </c>
      <c r="B188" s="4">
        <f t="shared" si="10"/>
        <v>0.27843137254901962</v>
      </c>
      <c r="C188" s="6">
        <f>$L$7*B188/((1+$L$7)-B188)</f>
        <v>1.8043202033036849E-2</v>
      </c>
      <c r="D188" s="3">
        <f>C188*(1-$L$6) + $L$6</f>
        <v>9.5362634943821356E-2</v>
      </c>
      <c r="E188" s="16">
        <f>E187-E187*$L$5</f>
        <v>3.681282149888171E-3</v>
      </c>
      <c r="F188" s="2">
        <f t="shared" si="11"/>
        <v>12</v>
      </c>
      <c r="G188" s="2">
        <f t="shared" si="12"/>
        <v>285</v>
      </c>
      <c r="H188" s="2">
        <f t="shared" si="13"/>
        <v>18</v>
      </c>
      <c r="I188" s="2">
        <f t="shared" si="14"/>
        <v>12.056640625</v>
      </c>
    </row>
    <row r="189" spans="1:9" x14ac:dyDescent="0.2">
      <c r="A189" s="2">
        <v>70</v>
      </c>
      <c r="B189" s="4">
        <f t="shared" si="10"/>
        <v>0.27450980392156865</v>
      </c>
      <c r="C189" s="6">
        <f>$L$7*B189/((1+$L$7)-B189)</f>
        <v>1.7699115044247791E-2</v>
      </c>
      <c r="D189" s="3">
        <f>C189*(1-$L$6) + $L$6</f>
        <v>9.5045641418716464E-2</v>
      </c>
      <c r="E189" s="16">
        <f>E188-E188*$L$5</f>
        <v>3.5708436853915258E-3</v>
      </c>
      <c r="F189" s="2">
        <f t="shared" si="11"/>
        <v>12</v>
      </c>
      <c r="G189" s="2">
        <f t="shared" si="12"/>
        <v>281</v>
      </c>
      <c r="H189" s="2">
        <f t="shared" si="13"/>
        <v>18</v>
      </c>
      <c r="I189" s="2">
        <f t="shared" si="14"/>
        <v>12.056640625</v>
      </c>
    </row>
    <row r="190" spans="1:9" x14ac:dyDescent="0.2">
      <c r="A190" s="2">
        <v>69</v>
      </c>
      <c r="B190" s="4">
        <f t="shared" si="10"/>
        <v>0.27058823529411763</v>
      </c>
      <c r="C190" s="6">
        <f>$L$7*B190/((1+$L$7)-B190)</f>
        <v>1.7358490566037731E-2</v>
      </c>
      <c r="D190" s="3">
        <f>C190*(1-$L$6) + $L$6</f>
        <v>9.4731837765562321E-2</v>
      </c>
      <c r="E190" s="16">
        <f>E189-E189*$L$5</f>
        <v>3.4637183748297802E-3</v>
      </c>
      <c r="F190" s="2">
        <f t="shared" si="11"/>
        <v>12</v>
      </c>
      <c r="G190" s="2">
        <f t="shared" si="12"/>
        <v>277</v>
      </c>
      <c r="H190" s="2">
        <f t="shared" si="13"/>
        <v>17</v>
      </c>
      <c r="I190" s="2">
        <f t="shared" si="14"/>
        <v>11.9423828125</v>
      </c>
    </row>
    <row r="191" spans="1:9" x14ac:dyDescent="0.2">
      <c r="A191" s="2">
        <v>68</v>
      </c>
      <c r="B191" s="4">
        <f t="shared" si="10"/>
        <v>0.26666666666666666</v>
      </c>
      <c r="C191" s="6">
        <f>$L$7*B191/((1+$L$7)-B191)</f>
        <v>1.7021276595744681E-2</v>
      </c>
      <c r="D191" s="3">
        <f>C191*(1-$L$6) + $L$6</f>
        <v>9.4421176076394706E-2</v>
      </c>
      <c r="E191" s="16">
        <f>E190-E190*$L$5</f>
        <v>3.3598068235848868E-3</v>
      </c>
      <c r="F191" s="2">
        <f t="shared" si="11"/>
        <v>12</v>
      </c>
      <c r="G191" s="2">
        <f t="shared" si="12"/>
        <v>273</v>
      </c>
      <c r="H191" s="2">
        <f t="shared" si="13"/>
        <v>17</v>
      </c>
      <c r="I191" s="2">
        <f t="shared" si="14"/>
        <v>11.9423828125</v>
      </c>
    </row>
    <row r="192" spans="1:9" x14ac:dyDescent="0.2">
      <c r="A192" s="2">
        <v>67</v>
      </c>
      <c r="B192" s="4">
        <f t="shared" si="10"/>
        <v>0.2627450980392157</v>
      </c>
      <c r="C192" s="6">
        <f>$L$7*B192/((1+$L$7)-B192)</f>
        <v>1.668742216687422E-2</v>
      </c>
      <c r="D192" s="3">
        <f>C192*(1-$L$6) + $L$6</f>
        <v>9.4113609397829007E-2</v>
      </c>
      <c r="E192" s="16">
        <f>E191-E191*$L$5</f>
        <v>3.2590126188773404E-3</v>
      </c>
      <c r="F192" s="2">
        <f t="shared" si="11"/>
        <v>12</v>
      </c>
      <c r="G192" s="2">
        <f t="shared" si="12"/>
        <v>269</v>
      </c>
      <c r="H192" s="2">
        <f t="shared" si="13"/>
        <v>17</v>
      </c>
      <c r="I192" s="2">
        <f t="shared" si="14"/>
        <v>11.9423828125</v>
      </c>
    </row>
    <row r="193" spans="1:9" x14ac:dyDescent="0.2">
      <c r="A193" s="2">
        <v>66</v>
      </c>
      <c r="B193" s="4">
        <f t="shared" si="10"/>
        <v>0.25882352941176473</v>
      </c>
      <c r="C193" s="6">
        <f>$L$7*B193/((1+$L$7)-B193)</f>
        <v>1.6356877323420074E-2</v>
      </c>
      <c r="D193" s="3">
        <f>C193*(1-$L$6) + $L$6</f>
        <v>9.3809091707402745E-2</v>
      </c>
      <c r="E193" s="16">
        <f>E192-E192*$L$5</f>
        <v>3.1612422403110201E-3</v>
      </c>
      <c r="F193" s="2">
        <f t="shared" si="11"/>
        <v>12</v>
      </c>
      <c r="G193" s="2">
        <f t="shared" si="12"/>
        <v>265</v>
      </c>
      <c r="H193" s="2">
        <f t="shared" si="13"/>
        <v>16</v>
      </c>
      <c r="I193" s="2">
        <f t="shared" si="14"/>
        <v>11.828125</v>
      </c>
    </row>
    <row r="194" spans="1:9" x14ac:dyDescent="0.2">
      <c r="A194" s="2">
        <v>65</v>
      </c>
      <c r="B194" s="4">
        <f t="shared" si="10"/>
        <v>0.25490196078431371</v>
      </c>
      <c r="C194" s="6">
        <f>$L$7*B194/((1+$L$7)-B194)</f>
        <v>1.6029593094944512E-2</v>
      </c>
      <c r="D194" s="3">
        <f>C194*(1-$L$6) + $L$6</f>
        <v>9.3507577890618171E-2</v>
      </c>
      <c r="E194" s="16">
        <f>E193-E193*$L$5</f>
        <v>3.0664049731016895E-3</v>
      </c>
      <c r="F194" s="2">
        <f t="shared" si="11"/>
        <v>12</v>
      </c>
      <c r="G194" s="2">
        <f t="shared" si="12"/>
        <v>261</v>
      </c>
      <c r="H194" s="2">
        <f t="shared" si="13"/>
        <v>16</v>
      </c>
      <c r="I194" s="2">
        <f t="shared" si="14"/>
        <v>11.828125</v>
      </c>
    </row>
    <row r="195" spans="1:9" x14ac:dyDescent="0.2">
      <c r="A195" s="2">
        <v>64</v>
      </c>
      <c r="B195" s="4">
        <f t="shared" si="10"/>
        <v>0.25098039215686274</v>
      </c>
      <c r="C195" s="6">
        <f>$L$7*B195/((1+$L$7)-B195)</f>
        <v>1.5705521472392639E-2</v>
      </c>
      <c r="D195" s="3">
        <f>C195*(1-$L$6) + $L$6</f>
        <v>9.3209023718660938E-2</v>
      </c>
      <c r="E195" s="16">
        <f>E194-E194*$L$5</f>
        <v>2.9744128239086389E-3</v>
      </c>
      <c r="F195" s="2">
        <f t="shared" si="11"/>
        <v>12</v>
      </c>
      <c r="G195" s="2">
        <f t="shared" si="12"/>
        <v>257</v>
      </c>
      <c r="H195" s="2">
        <f t="shared" si="13"/>
        <v>16</v>
      </c>
      <c r="I195" s="2">
        <f t="shared" si="14"/>
        <v>11.828125</v>
      </c>
    </row>
    <row r="196" spans="1:9" x14ac:dyDescent="0.2">
      <c r="A196" s="2">
        <v>63</v>
      </c>
      <c r="B196" s="4">
        <f t="shared" si="10"/>
        <v>0.24705882352941178</v>
      </c>
      <c r="C196" s="6">
        <f>$L$7*B196/((1+$L$7)-B196)</f>
        <v>1.5384615384615385E-2</v>
      </c>
      <c r="D196" s="3">
        <f>C196*(1-$L$6) + $L$6</f>
        <v>9.2913385826771652E-2</v>
      </c>
      <c r="E196" s="16">
        <f>E195-E195*$L$5</f>
        <v>2.8851804391913797E-3</v>
      </c>
      <c r="F196" s="2">
        <f t="shared" si="11"/>
        <v>12</v>
      </c>
      <c r="G196" s="2">
        <f t="shared" si="12"/>
        <v>253</v>
      </c>
      <c r="H196" s="2">
        <f t="shared" si="13"/>
        <v>15</v>
      </c>
      <c r="I196" s="2">
        <f t="shared" si="14"/>
        <v>11.7138671875</v>
      </c>
    </row>
    <row r="197" spans="1:9" x14ac:dyDescent="0.2">
      <c r="A197" s="2">
        <v>62</v>
      </c>
      <c r="B197" s="4">
        <f t="shared" ref="B197:B259" si="15">A197/255</f>
        <v>0.24313725490196078</v>
      </c>
      <c r="C197" s="6">
        <f>$L$7*B197/((1+$L$7)-B197)</f>
        <v>1.5066828675577158E-2</v>
      </c>
      <c r="D197" s="3">
        <f>C197*(1-$L$6) + $L$6</f>
        <v>9.2620621693248251E-2</v>
      </c>
      <c r="E197" s="16">
        <f>E196-E196*$L$5</f>
        <v>2.7986250260156383E-3</v>
      </c>
      <c r="F197" s="2">
        <f t="shared" ref="F197:F228" si="16">ROUND(D197*127,0)</f>
        <v>12</v>
      </c>
      <c r="G197" s="2">
        <f t="shared" ref="G197:G259" si="17">ROUND(A197*$L$10/255,0)</f>
        <v>249</v>
      </c>
      <c r="H197" s="2">
        <f t="shared" ref="H197:H259" si="18">ROUND($L$8*G197/(($L$10+$L$8) - G197),0)</f>
        <v>15</v>
      </c>
      <c r="I197" s="2">
        <f t="shared" ref="I197:I259" si="19">H197*(127 - $L$3)/1024 + $L$3</f>
        <v>11.7138671875</v>
      </c>
    </row>
    <row r="198" spans="1:9" x14ac:dyDescent="0.2">
      <c r="A198" s="2">
        <v>61</v>
      </c>
      <c r="B198" s="4">
        <f t="shared" si="15"/>
        <v>0.23921568627450981</v>
      </c>
      <c r="C198" s="6">
        <f>$L$7*B198/((1+$L$7)-B198)</f>
        <v>1.4752116082224912E-2</v>
      </c>
      <c r="D198" s="3">
        <f>C198*(1-$L$6) + $L$6</f>
        <v>9.233068961905759E-2</v>
      </c>
      <c r="E198" s="16">
        <f>E197-E197*$L$5</f>
        <v>2.714666275235169E-3</v>
      </c>
      <c r="F198" s="2">
        <f t="shared" si="16"/>
        <v>12</v>
      </c>
      <c r="G198" s="2">
        <f t="shared" si="17"/>
        <v>245</v>
      </c>
      <c r="H198" s="2">
        <f t="shared" si="18"/>
        <v>15</v>
      </c>
      <c r="I198" s="2">
        <f t="shared" si="19"/>
        <v>11.7138671875</v>
      </c>
    </row>
    <row r="199" spans="1:9" x14ac:dyDescent="0.2">
      <c r="A199" s="2">
        <v>60</v>
      </c>
      <c r="B199" s="4">
        <f t="shared" si="15"/>
        <v>0.23529411764705882</v>
      </c>
      <c r="C199" s="6">
        <f>$L$7*B199/((1+$L$7)-B199)</f>
        <v>1.444043321299639E-2</v>
      </c>
      <c r="D199" s="3">
        <f>C199*(1-$L$6) + $L$6</f>
        <v>9.2043548708036049E-2</v>
      </c>
      <c r="E199" s="16">
        <f>E198-E198*$L$5</f>
        <v>2.6332262869781138E-3</v>
      </c>
      <c r="F199" s="2">
        <f t="shared" si="16"/>
        <v>12</v>
      </c>
      <c r="G199" s="2">
        <f t="shared" si="17"/>
        <v>241</v>
      </c>
      <c r="H199" s="2">
        <f t="shared" si="18"/>
        <v>14</v>
      </c>
      <c r="I199" s="2">
        <f t="shared" si="19"/>
        <v>11.599609375</v>
      </c>
    </row>
    <row r="200" spans="1:9" x14ac:dyDescent="0.2">
      <c r="A200" s="2">
        <v>59</v>
      </c>
      <c r="B200" s="4">
        <f t="shared" si="15"/>
        <v>0.23137254901960785</v>
      </c>
      <c r="C200" s="6">
        <f>$L$7*B200/((1+$L$7)-B200)</f>
        <v>1.4131736526946109E-2</v>
      </c>
      <c r="D200" s="3">
        <f>C200*(1-$L$6) + $L$6</f>
        <v>9.1759158847659006E-2</v>
      </c>
      <c r="E200" s="16">
        <f>E199-E199*$L$5</f>
        <v>2.5542294983687706E-3</v>
      </c>
      <c r="F200" s="2">
        <f t="shared" si="16"/>
        <v>12</v>
      </c>
      <c r="G200" s="2">
        <f t="shared" si="17"/>
        <v>237</v>
      </c>
      <c r="H200" s="2">
        <f t="shared" si="18"/>
        <v>14</v>
      </c>
      <c r="I200" s="2">
        <f t="shared" si="19"/>
        <v>11.599609375</v>
      </c>
    </row>
    <row r="201" spans="1:9" x14ac:dyDescent="0.2">
      <c r="A201" s="2">
        <v>58</v>
      </c>
      <c r="B201" s="4">
        <f t="shared" si="15"/>
        <v>0.22745098039215686</v>
      </c>
      <c r="C201" s="6">
        <f>$L$7*B201/((1+$L$7)-B201)</f>
        <v>1.3825983313468414E-2</v>
      </c>
      <c r="D201" s="3">
        <f>C201*(1-$L$6) + $L$6</f>
        <v>9.1477480690360657E-2</v>
      </c>
      <c r="E201" s="16">
        <f>E200-E200*$L$5</f>
        <v>2.4776026134177074E-3</v>
      </c>
      <c r="F201" s="2">
        <f t="shared" si="16"/>
        <v>12</v>
      </c>
      <c r="G201" s="2">
        <f t="shared" si="17"/>
        <v>233</v>
      </c>
      <c r="H201" s="2">
        <f t="shared" si="18"/>
        <v>14</v>
      </c>
      <c r="I201" s="2">
        <f t="shared" si="19"/>
        <v>11.599609375</v>
      </c>
    </row>
    <row r="202" spans="1:9" x14ac:dyDescent="0.2">
      <c r="A202" s="2">
        <v>57</v>
      </c>
      <c r="B202" s="4">
        <f t="shared" si="15"/>
        <v>0.22352941176470589</v>
      </c>
      <c r="C202" s="6">
        <f>$L$7*B202/((1+$L$7)-B202)</f>
        <v>1.3523131672597864E-2</v>
      </c>
      <c r="D202" s="3">
        <f>C202*(1-$L$6) + $L$6</f>
        <v>9.119847563538544E-2</v>
      </c>
      <c r="E202" s="16">
        <f>E201-E201*$L$5</f>
        <v>2.4032745350151762E-3</v>
      </c>
      <c r="F202" s="2">
        <f t="shared" si="16"/>
        <v>12</v>
      </c>
      <c r="G202" s="2">
        <f t="shared" si="17"/>
        <v>229</v>
      </c>
      <c r="H202" s="2">
        <f t="shared" si="18"/>
        <v>14</v>
      </c>
      <c r="I202" s="2">
        <f t="shared" si="19"/>
        <v>11.599609375</v>
      </c>
    </row>
    <row r="203" spans="1:9" x14ac:dyDescent="0.2">
      <c r="A203" s="2">
        <v>56</v>
      </c>
      <c r="B203" s="4">
        <f t="shared" si="15"/>
        <v>0.2196078431372549</v>
      </c>
      <c r="C203" s="6">
        <f>$L$7*B203/((1+$L$7)-B203)</f>
        <v>1.3223140495867768E-2</v>
      </c>
      <c r="D203" s="3">
        <f>C203*(1-$L$6) + $L$6</f>
        <v>9.0922105811153772E-2</v>
      </c>
      <c r="E203" s="16">
        <f>E202-E202*$L$5</f>
        <v>2.3311762989647209E-3</v>
      </c>
      <c r="F203" s="2">
        <f t="shared" si="16"/>
        <v>12</v>
      </c>
      <c r="G203" s="2">
        <f t="shared" si="17"/>
        <v>225</v>
      </c>
      <c r="H203" s="2">
        <f t="shared" si="18"/>
        <v>13</v>
      </c>
      <c r="I203" s="2">
        <f t="shared" si="19"/>
        <v>11.4853515625</v>
      </c>
    </row>
    <row r="204" spans="1:9" x14ac:dyDescent="0.2">
      <c r="A204" s="2">
        <v>55</v>
      </c>
      <c r="B204" s="4">
        <f t="shared" si="15"/>
        <v>0.21568627450980393</v>
      </c>
      <c r="C204" s="6">
        <f>$L$7*B204/((1+$L$7)-B204)</f>
        <v>1.2925969447708579E-2</v>
      </c>
      <c r="D204" s="3">
        <f>C204*(1-$L$6) + $L$6</f>
        <v>9.0648334058125224E-2</v>
      </c>
      <c r="E204" s="16">
        <f>E203-E203*$L$5</f>
        <v>2.2612410099957791E-3</v>
      </c>
      <c r="F204" s="2">
        <f t="shared" si="16"/>
        <v>12</v>
      </c>
      <c r="G204" s="2">
        <f t="shared" si="17"/>
        <v>221</v>
      </c>
      <c r="H204" s="2">
        <f t="shared" si="18"/>
        <v>13</v>
      </c>
      <c r="I204" s="2">
        <f t="shared" si="19"/>
        <v>11.4853515625</v>
      </c>
    </row>
    <row r="205" spans="1:9" x14ac:dyDescent="0.2">
      <c r="A205" s="2">
        <v>54</v>
      </c>
      <c r="B205" s="4">
        <f t="shared" si="15"/>
        <v>0.21176470588235294</v>
      </c>
      <c r="C205" s="6">
        <f>$L$7*B205/((1+$L$7)-B205)</f>
        <v>1.2631578947368423E-2</v>
      </c>
      <c r="D205" s="3">
        <f>C205*(1-$L$6) + $L$6</f>
        <v>9.037712391214256E-2</v>
      </c>
      <c r="E205" s="16">
        <f>E204-E204*$L$5</f>
        <v>2.1934037796959059E-3</v>
      </c>
      <c r="F205" s="2">
        <f t="shared" si="16"/>
        <v>11</v>
      </c>
      <c r="G205" s="2">
        <f t="shared" si="17"/>
        <v>217</v>
      </c>
      <c r="H205" s="2">
        <f t="shared" si="18"/>
        <v>13</v>
      </c>
      <c r="I205" s="2">
        <f t="shared" si="19"/>
        <v>11.4853515625</v>
      </c>
    </row>
    <row r="206" spans="1:9" x14ac:dyDescent="0.2">
      <c r="A206" s="2">
        <v>53</v>
      </c>
      <c r="B206" s="4">
        <f t="shared" si="15"/>
        <v>0.20784313725490197</v>
      </c>
      <c r="C206" s="6">
        <f>$L$7*B206/((1+$L$7)-B206)</f>
        <v>1.2339930151338767E-2</v>
      </c>
      <c r="D206" s="3">
        <f>C206*(1-$L$6) + $L$6</f>
        <v>9.0108439588241218E-2</v>
      </c>
      <c r="E206" s="16">
        <f>E205-E205*$L$5</f>
        <v>2.1276016663050287E-3</v>
      </c>
      <c r="F206" s="2">
        <f t="shared" si="16"/>
        <v>11</v>
      </c>
      <c r="G206" s="2">
        <f t="shared" si="17"/>
        <v>213</v>
      </c>
      <c r="H206" s="2">
        <f t="shared" si="18"/>
        <v>12</v>
      </c>
      <c r="I206" s="2">
        <f t="shared" si="19"/>
        <v>11.37109375</v>
      </c>
    </row>
    <row r="207" spans="1:9" x14ac:dyDescent="0.2">
      <c r="A207" s="2">
        <v>52</v>
      </c>
      <c r="B207" s="4">
        <f t="shared" si="15"/>
        <v>0.20392156862745098</v>
      </c>
      <c r="C207" s="6">
        <f>$L$7*B207/((1+$L$7)-B207)</f>
        <v>1.2050984936268829E-2</v>
      </c>
      <c r="D207" s="3">
        <f>C207*(1-$L$6) + $L$6</f>
        <v>8.9842245964909084E-2</v>
      </c>
      <c r="E207" s="16">
        <f>E206-E206*$L$5</f>
        <v>2.0637736163158778E-3</v>
      </c>
      <c r="F207" s="2">
        <f t="shared" si="16"/>
        <v>11</v>
      </c>
      <c r="G207" s="2">
        <f t="shared" si="17"/>
        <v>209</v>
      </c>
      <c r="H207" s="2">
        <f t="shared" si="18"/>
        <v>12</v>
      </c>
      <c r="I207" s="2">
        <f t="shared" si="19"/>
        <v>11.37109375</v>
      </c>
    </row>
    <row r="208" spans="1:9" x14ac:dyDescent="0.2">
      <c r="A208" s="2">
        <v>51</v>
      </c>
      <c r="B208" s="4">
        <f t="shared" si="15"/>
        <v>0.2</v>
      </c>
      <c r="C208" s="6">
        <f>$L$7*B208/((1+$L$7)-B208)</f>
        <v>1.1764705882352943E-2</v>
      </c>
      <c r="D208" s="3">
        <f>C208*(1-$L$6) + $L$6</f>
        <v>8.9578508568781842E-2</v>
      </c>
      <c r="E208" s="16">
        <f>E207-E207*$L$5</f>
        <v>2.0018604078264014E-3</v>
      </c>
      <c r="F208" s="2">
        <f t="shared" si="16"/>
        <v>11</v>
      </c>
      <c r="G208" s="2">
        <f t="shared" si="17"/>
        <v>205</v>
      </c>
      <c r="H208" s="2">
        <f t="shared" si="18"/>
        <v>12</v>
      </c>
      <c r="I208" s="2">
        <f t="shared" si="19"/>
        <v>11.37109375</v>
      </c>
    </row>
    <row r="209" spans="1:9" x14ac:dyDescent="0.2">
      <c r="A209" s="2">
        <v>50</v>
      </c>
      <c r="B209" s="4">
        <f t="shared" si="15"/>
        <v>0.19607843137254902</v>
      </c>
      <c r="C209" s="6">
        <f>$L$7*B209/((1+$L$7)-B209)</f>
        <v>1.1481056257175659E-2</v>
      </c>
      <c r="D209" s="3">
        <f>C209*(1-$L$6) + $L$6</f>
        <v>8.9317193559760255E-2</v>
      </c>
      <c r="E209" s="16">
        <f>E208-E208*$L$5</f>
        <v>1.9418045955916093E-3</v>
      </c>
      <c r="F209" s="2">
        <f t="shared" si="16"/>
        <v>11</v>
      </c>
      <c r="G209" s="2">
        <f t="shared" si="17"/>
        <v>201</v>
      </c>
      <c r="H209" s="2">
        <f t="shared" si="18"/>
        <v>12</v>
      </c>
      <c r="I209" s="2">
        <f t="shared" si="19"/>
        <v>11.37109375</v>
      </c>
    </row>
    <row r="210" spans="1:9" x14ac:dyDescent="0.2">
      <c r="A210" s="2">
        <v>49</v>
      </c>
      <c r="B210" s="4">
        <f t="shared" si="15"/>
        <v>0.19215686274509805</v>
      </c>
      <c r="C210" s="6">
        <f>$L$7*B210/((1+$L$7)-B210)</f>
        <v>1.12E-2</v>
      </c>
      <c r="D210" s="3">
        <f>C210*(1-$L$6) + $L$6</f>
        <v>8.9058267716535439E-2</v>
      </c>
      <c r="E210" s="16">
        <f>E209-E209*$L$5</f>
        <v>1.8835504577238611E-3</v>
      </c>
      <c r="F210" s="2">
        <f t="shared" si="16"/>
        <v>11</v>
      </c>
      <c r="G210" s="2">
        <f t="shared" si="17"/>
        <v>197</v>
      </c>
      <c r="H210" s="2">
        <f t="shared" si="18"/>
        <v>11</v>
      </c>
      <c r="I210" s="2">
        <f t="shared" si="19"/>
        <v>11.2568359375</v>
      </c>
    </row>
    <row r="211" spans="1:9" x14ac:dyDescent="0.2">
      <c r="A211" s="2">
        <v>48</v>
      </c>
      <c r="B211" s="4">
        <f t="shared" si="15"/>
        <v>0.18823529411764706</v>
      </c>
      <c r="C211" s="6">
        <f>$L$7*B211/((1+$L$7)-B211)</f>
        <v>1.0921501706484642E-2</v>
      </c>
      <c r="D211" s="3">
        <f>C211*(1-$L$6) + $L$6</f>
        <v>8.880169842250947E-2</v>
      </c>
      <c r="E211" s="16">
        <f>E210-E210*$L$5</f>
        <v>1.8270439439921453E-3</v>
      </c>
      <c r="F211" s="2">
        <f t="shared" si="16"/>
        <v>11</v>
      </c>
      <c r="G211" s="2">
        <f t="shared" si="17"/>
        <v>193</v>
      </c>
      <c r="H211" s="2">
        <f t="shared" si="18"/>
        <v>11</v>
      </c>
      <c r="I211" s="2">
        <f t="shared" si="19"/>
        <v>11.2568359375</v>
      </c>
    </row>
    <row r="212" spans="1:9" x14ac:dyDescent="0.2">
      <c r="A212" s="2">
        <v>47</v>
      </c>
      <c r="B212" s="4">
        <f t="shared" si="15"/>
        <v>0.18431372549019609</v>
      </c>
      <c r="C212" s="6">
        <f>$L$7*B212/((1+$L$7)-B212)</f>
        <v>1.0645526613816535E-2</v>
      </c>
      <c r="D212" s="3">
        <f>C212*(1-$L$6) + $L$6</f>
        <v>8.8547453652098693E-2</v>
      </c>
      <c r="E212" s="16">
        <f>E211-E211*$L$5</f>
        <v>1.772232625672381E-3</v>
      </c>
      <c r="F212" s="2">
        <f t="shared" si="16"/>
        <v>11</v>
      </c>
      <c r="G212" s="2">
        <f t="shared" si="17"/>
        <v>189</v>
      </c>
      <c r="H212" s="2">
        <f t="shared" si="18"/>
        <v>11</v>
      </c>
      <c r="I212" s="2">
        <f t="shared" si="19"/>
        <v>11.2568359375</v>
      </c>
    </row>
    <row r="213" spans="1:9" x14ac:dyDescent="0.2">
      <c r="A213" s="2">
        <v>46</v>
      </c>
      <c r="B213" s="4">
        <f t="shared" si="15"/>
        <v>0.1803921568627451</v>
      </c>
      <c r="C213" s="6">
        <f>$L$7*B213/((1+$L$7)-B213)</f>
        <v>1.0372040586245771E-2</v>
      </c>
      <c r="D213" s="3">
        <f>C213*(1-$L$6) + $L$6</f>
        <v>8.8295501957407527E-2</v>
      </c>
      <c r="E213" s="16">
        <f>E212-E212*$L$5</f>
        <v>1.7190656469022096E-3</v>
      </c>
      <c r="F213" s="2">
        <f t="shared" si="16"/>
        <v>11</v>
      </c>
      <c r="G213" s="2">
        <f t="shared" si="17"/>
        <v>185</v>
      </c>
      <c r="H213" s="2">
        <f t="shared" si="18"/>
        <v>10</v>
      </c>
      <c r="I213" s="2">
        <f t="shared" si="19"/>
        <v>11.142578125</v>
      </c>
    </row>
    <row r="214" spans="1:9" x14ac:dyDescent="0.2">
      <c r="A214" s="2">
        <v>45</v>
      </c>
      <c r="B214" s="4">
        <f t="shared" si="15"/>
        <v>0.17647058823529413</v>
      </c>
      <c r="C214" s="6">
        <f>$L$7*B214/((1+$L$7)-B214)</f>
        <v>1.0101010101010104E-2</v>
      </c>
      <c r="D214" s="3">
        <f>C214*(1-$L$6) + $L$6</f>
        <v>8.8045812455261274E-2</v>
      </c>
      <c r="E214" s="16">
        <f>E213-E213*$L$5</f>
        <v>1.6674936774951432E-3</v>
      </c>
      <c r="F214" s="2">
        <f t="shared" si="16"/>
        <v>11</v>
      </c>
      <c r="G214" s="2">
        <f t="shared" si="17"/>
        <v>181</v>
      </c>
      <c r="H214" s="2">
        <f t="shared" si="18"/>
        <v>10</v>
      </c>
      <c r="I214" s="2">
        <f t="shared" si="19"/>
        <v>11.142578125</v>
      </c>
    </row>
    <row r="215" spans="1:9" x14ac:dyDescent="0.2">
      <c r="A215" s="2">
        <v>44</v>
      </c>
      <c r="B215" s="4">
        <f t="shared" si="15"/>
        <v>0.17254901960784313</v>
      </c>
      <c r="C215" s="6">
        <f>$L$7*B215/((1+$L$7)-B215)</f>
        <v>9.8324022346368712E-3</v>
      </c>
      <c r="D215" s="3">
        <f>C215*(1-$L$6) + $L$6</f>
        <v>8.7798354814586727E-2</v>
      </c>
      <c r="E215" s="16">
        <f>E214-E214*$L$5</f>
        <v>1.6174688671702889E-3</v>
      </c>
      <c r="F215" s="2">
        <f t="shared" si="16"/>
        <v>11</v>
      </c>
      <c r="G215" s="2">
        <f t="shared" si="17"/>
        <v>177</v>
      </c>
      <c r="H215" s="2">
        <f t="shared" si="18"/>
        <v>10</v>
      </c>
      <c r="I215" s="2">
        <f t="shared" si="19"/>
        <v>11.142578125</v>
      </c>
    </row>
    <row r="216" spans="1:9" x14ac:dyDescent="0.2">
      <c r="A216" s="2">
        <v>43</v>
      </c>
      <c r="B216" s="4">
        <f t="shared" si="15"/>
        <v>0.16862745098039217</v>
      </c>
      <c r="C216" s="6">
        <f>$L$7*B216/((1+$L$7)-B216)</f>
        <v>9.5661846496106796E-3</v>
      </c>
      <c r="D216" s="3">
        <f>C216*(1-$L$6) + $L$6</f>
        <v>8.7553099244129517E-2</v>
      </c>
      <c r="E216" s="16">
        <f>E215-E215*$L$5</f>
        <v>1.5689448011551802E-3</v>
      </c>
      <c r="F216" s="2">
        <f t="shared" si="16"/>
        <v>11</v>
      </c>
      <c r="G216" s="2">
        <f t="shared" si="17"/>
        <v>173</v>
      </c>
      <c r="H216" s="2">
        <f t="shared" si="18"/>
        <v>10</v>
      </c>
      <c r="I216" s="2">
        <f t="shared" si="19"/>
        <v>11.142578125</v>
      </c>
    </row>
    <row r="217" spans="1:9" x14ac:dyDescent="0.2">
      <c r="A217" s="2">
        <v>42</v>
      </c>
      <c r="B217" s="4">
        <f t="shared" si="15"/>
        <v>0.16470588235294117</v>
      </c>
      <c r="C217" s="6">
        <f>$L$7*B217/((1+$L$7)-B217)</f>
        <v>9.3023255813953487E-3</v>
      </c>
      <c r="D217" s="3">
        <f>C217*(1-$L$6) + $L$6</f>
        <v>8.7310016480498076E-2</v>
      </c>
      <c r="E217" s="16">
        <f>E216-E216*$L$5</f>
        <v>1.5218764571205249E-3</v>
      </c>
      <c r="F217" s="2">
        <f t="shared" si="16"/>
        <v>11</v>
      </c>
      <c r="G217" s="2">
        <f t="shared" si="17"/>
        <v>169</v>
      </c>
      <c r="H217" s="2">
        <f t="shared" si="18"/>
        <v>9</v>
      </c>
      <c r="I217" s="2">
        <f t="shared" si="19"/>
        <v>11.0283203125</v>
      </c>
    </row>
    <row r="218" spans="1:9" x14ac:dyDescent="0.2">
      <c r="A218" s="2">
        <v>41</v>
      </c>
      <c r="B218" s="4">
        <f t="shared" si="15"/>
        <v>0.16078431372549021</v>
      </c>
      <c r="C218" s="6">
        <f>$L$7*B218/((1+$L$7)-B218)</f>
        <v>9.0407938257993387E-3</v>
      </c>
      <c r="D218" s="3">
        <f>C218*(1-$L$6) + $L$6</f>
        <v>8.7069077776523798E-2</v>
      </c>
      <c r="E218" s="16">
        <f>E217-E217*$L$5</f>
        <v>1.4762201634069092E-3</v>
      </c>
      <c r="F218" s="2">
        <f t="shared" si="16"/>
        <v>11</v>
      </c>
      <c r="G218" s="2">
        <f t="shared" si="17"/>
        <v>165</v>
      </c>
      <c r="H218" s="2">
        <f t="shared" si="18"/>
        <v>9</v>
      </c>
      <c r="I218" s="2">
        <f t="shared" si="19"/>
        <v>11.0283203125</v>
      </c>
    </row>
    <row r="219" spans="1:9" x14ac:dyDescent="0.2">
      <c r="A219" s="2">
        <v>40</v>
      </c>
      <c r="B219" s="4">
        <f t="shared" si="15"/>
        <v>0.15686274509803921</v>
      </c>
      <c r="C219" s="6">
        <f>$L$7*B219/((1+$L$7)-B219)</f>
        <v>8.7815587266739832E-3</v>
      </c>
      <c r="D219" s="3">
        <f>C219*(1-$L$6) + $L$6</f>
        <v>8.6830254889928002E-2</v>
      </c>
      <c r="E219" s="16">
        <f>E218-E218*$L$5</f>
        <v>1.4319335585047019E-3</v>
      </c>
      <c r="F219" s="2">
        <f t="shared" si="16"/>
        <v>11</v>
      </c>
      <c r="G219" s="2">
        <f t="shared" si="17"/>
        <v>161</v>
      </c>
      <c r="H219" s="2">
        <f t="shared" si="18"/>
        <v>9</v>
      </c>
      <c r="I219" s="2">
        <f t="shared" si="19"/>
        <v>11.0283203125</v>
      </c>
    </row>
    <row r="220" spans="1:9" x14ac:dyDescent="0.2">
      <c r="A220" s="2">
        <v>39</v>
      </c>
      <c r="B220" s="4">
        <f t="shared" si="15"/>
        <v>0.15294117647058825</v>
      </c>
      <c r="C220" s="6">
        <f>$L$7*B220/((1+$L$7)-B220)</f>
        <v>8.5245901639344271E-3</v>
      </c>
      <c r="D220" s="3">
        <f>C220*(1-$L$6) + $L$6</f>
        <v>8.6593520072286045E-2</v>
      </c>
      <c r="E220" s="16">
        <f>E219-E219*$L$5</f>
        <v>1.3889755517495609E-3</v>
      </c>
      <c r="F220" s="2">
        <f t="shared" si="16"/>
        <v>11</v>
      </c>
      <c r="G220" s="2">
        <f t="shared" si="17"/>
        <v>157</v>
      </c>
      <c r="H220" s="2">
        <f t="shared" si="18"/>
        <v>9</v>
      </c>
      <c r="I220" s="2">
        <f t="shared" si="19"/>
        <v>11.0283203125</v>
      </c>
    </row>
    <row r="221" spans="1:9" x14ac:dyDescent="0.2">
      <c r="A221" s="2">
        <v>38</v>
      </c>
      <c r="B221" s="4">
        <f t="shared" si="15"/>
        <v>0.14901960784313725</v>
      </c>
      <c r="C221" s="6">
        <f>$L$7*B221/((1+$L$7)-B221)</f>
        <v>8.2698585418933615E-3</v>
      </c>
      <c r="D221" s="3">
        <f>C221*(1-$L$6) + $L$6</f>
        <v>8.6358846058279704E-2</v>
      </c>
      <c r="E221" s="16">
        <f>E220-E220*$L$5</f>
        <v>1.3473062851970742E-3</v>
      </c>
      <c r="F221" s="2">
        <f t="shared" si="16"/>
        <v>11</v>
      </c>
      <c r="G221" s="2">
        <f t="shared" si="17"/>
        <v>153</v>
      </c>
      <c r="H221" s="2">
        <f t="shared" si="18"/>
        <v>8</v>
      </c>
      <c r="I221" s="2">
        <f t="shared" si="19"/>
        <v>10.9140625</v>
      </c>
    </row>
    <row r="222" spans="1:9" x14ac:dyDescent="0.2">
      <c r="A222" s="2">
        <v>37</v>
      </c>
      <c r="B222" s="4">
        <f t="shared" si="15"/>
        <v>0.14509803921568629</v>
      </c>
      <c r="C222" s="6">
        <f>$L$7*B222/((1+$L$7)-B222)</f>
        <v>8.0173347778981583E-3</v>
      </c>
      <c r="D222" s="3">
        <f>C222*(1-$L$6) + $L$6</f>
        <v>8.6126206055229013E-2</v>
      </c>
      <c r="E222" s="16">
        <f>E221-E221*$L$5</f>
        <v>1.3068870966411619E-3</v>
      </c>
      <c r="F222" s="2">
        <f t="shared" si="16"/>
        <v>11</v>
      </c>
      <c r="G222" s="2">
        <f t="shared" si="17"/>
        <v>149</v>
      </c>
      <c r="H222" s="2">
        <f t="shared" si="18"/>
        <v>8</v>
      </c>
      <c r="I222" s="2">
        <f t="shared" si="19"/>
        <v>10.9140625</v>
      </c>
    </row>
    <row r="223" spans="1:9" x14ac:dyDescent="0.2">
      <c r="A223" s="2">
        <v>36</v>
      </c>
      <c r="B223" s="4">
        <f t="shared" si="15"/>
        <v>0.14117647058823529</v>
      </c>
      <c r="C223" s="6">
        <f>$L$7*B223/((1+$L$7)-B223)</f>
        <v>7.7669902912621356E-3</v>
      </c>
      <c r="D223" s="3">
        <f>C223*(1-$L$6) + $L$6</f>
        <v>8.5895573732895039E-2</v>
      </c>
      <c r="E223" s="16">
        <f>E222-E222*$L$5</f>
        <v>1.2676804837419271E-3</v>
      </c>
      <c r="F223" s="2">
        <f t="shared" si="16"/>
        <v>11</v>
      </c>
      <c r="G223" s="2">
        <f t="shared" si="17"/>
        <v>145</v>
      </c>
      <c r="H223" s="2">
        <f t="shared" si="18"/>
        <v>8</v>
      </c>
      <c r="I223" s="2">
        <f t="shared" si="19"/>
        <v>10.9140625</v>
      </c>
    </row>
    <row r="224" spans="1:9" x14ac:dyDescent="0.2">
      <c r="A224" s="2">
        <v>35</v>
      </c>
      <c r="B224" s="4">
        <f t="shared" si="15"/>
        <v>0.13725490196078433</v>
      </c>
      <c r="C224" s="6">
        <f>$L$7*B224/((1+$L$7)-B224)</f>
        <v>7.5187969924812035E-3</v>
      </c>
      <c r="D224" s="3">
        <f>C224*(1-$L$6) + $L$6</f>
        <v>8.5666923213545673E-2</v>
      </c>
      <c r="E224" s="16">
        <f>E223-E223*$L$5</f>
        <v>1.2296500692296694E-3</v>
      </c>
      <c r="F224" s="2">
        <f t="shared" si="16"/>
        <v>11</v>
      </c>
      <c r="G224" s="2">
        <f t="shared" si="17"/>
        <v>141</v>
      </c>
      <c r="H224" s="2">
        <f t="shared" si="18"/>
        <v>8</v>
      </c>
      <c r="I224" s="2">
        <f t="shared" si="19"/>
        <v>10.9140625</v>
      </c>
    </row>
    <row r="225" spans="1:9" x14ac:dyDescent="0.2">
      <c r="A225" s="2">
        <v>34</v>
      </c>
      <c r="B225" s="4">
        <f t="shared" si="15"/>
        <v>0.13333333333333333</v>
      </c>
      <c r="C225" s="6">
        <f>$L$7*B225/((1+$L$7)-B225)</f>
        <v>7.2727272727272727E-3</v>
      </c>
      <c r="D225" s="3">
        <f>C225*(1-$L$6) + $L$6</f>
        <v>8.5440229062276302E-2</v>
      </c>
      <c r="E225" s="16">
        <f>E224-E224*$L$5</f>
        <v>1.1927605671527793E-3</v>
      </c>
      <c r="F225" s="2">
        <f t="shared" si="16"/>
        <v>11</v>
      </c>
      <c r="G225" s="2">
        <f t="shared" si="17"/>
        <v>137</v>
      </c>
      <c r="H225" s="2">
        <f t="shared" si="18"/>
        <v>7</v>
      </c>
      <c r="I225" s="2">
        <f t="shared" si="19"/>
        <v>10.7998046875</v>
      </c>
    </row>
    <row r="226" spans="1:9" x14ac:dyDescent="0.2">
      <c r="A226" s="2">
        <v>33</v>
      </c>
      <c r="B226" s="4">
        <f t="shared" si="15"/>
        <v>0.12941176470588237</v>
      </c>
      <c r="C226" s="6">
        <f>$L$7*B226/((1+$L$7)-B226)</f>
        <v>7.028753993610224E-3</v>
      </c>
      <c r="D226" s="3">
        <f>C226*(1-$L$6) + $L$6</f>
        <v>8.5215466277577923E-2</v>
      </c>
      <c r="E226" s="16">
        <f>E225-E225*$L$5</f>
        <v>1.1569777501381959E-3</v>
      </c>
      <c r="F226" s="2">
        <f t="shared" si="16"/>
        <v>11</v>
      </c>
      <c r="G226" s="2">
        <f t="shared" si="17"/>
        <v>133</v>
      </c>
      <c r="H226" s="2">
        <f t="shared" si="18"/>
        <v>7</v>
      </c>
      <c r="I226" s="2">
        <f t="shared" si="19"/>
        <v>10.7998046875</v>
      </c>
    </row>
    <row r="227" spans="1:9" x14ac:dyDescent="0.2">
      <c r="A227" s="2">
        <v>32</v>
      </c>
      <c r="B227" s="4">
        <f t="shared" si="15"/>
        <v>0.12549019607843137</v>
      </c>
      <c r="C227" s="6">
        <f>$L$7*B227/((1+$L$7)-B227)</f>
        <v>6.7868504772004247E-3</v>
      </c>
      <c r="D227" s="3">
        <f>C227*(1-$L$6) + $L$6</f>
        <v>8.4992610282145276E-2</v>
      </c>
      <c r="E227" s="16">
        <f>E226-E226*$L$5</f>
        <v>1.12226841763405E-3</v>
      </c>
      <c r="F227" s="2">
        <f t="shared" si="16"/>
        <v>11</v>
      </c>
      <c r="G227" s="2">
        <f t="shared" si="17"/>
        <v>129</v>
      </c>
      <c r="H227" s="2">
        <f t="shared" si="18"/>
        <v>7</v>
      </c>
      <c r="I227" s="2">
        <f t="shared" si="19"/>
        <v>10.7998046875</v>
      </c>
    </row>
    <row r="228" spans="1:9" x14ac:dyDescent="0.2">
      <c r="A228" s="2">
        <v>31</v>
      </c>
      <c r="B228" s="4">
        <f t="shared" si="15"/>
        <v>0.12156862745098039</v>
      </c>
      <c r="C228" s="6">
        <f>$L$7*B228/((1+$L$7)-B228)</f>
        <v>6.5469904963041184E-3</v>
      </c>
      <c r="D228" s="3">
        <f>C228*(1-$L$6) + $L$6</f>
        <v>8.4771636913917967E-2</v>
      </c>
      <c r="E228" s="16">
        <f>E227-E227*$L$5</f>
        <v>1.0886003651050286E-3</v>
      </c>
      <c r="F228" s="2">
        <f t="shared" si="16"/>
        <v>11</v>
      </c>
      <c r="G228" s="2">
        <f t="shared" si="17"/>
        <v>124</v>
      </c>
      <c r="H228" s="2">
        <f t="shared" si="18"/>
        <v>7</v>
      </c>
      <c r="I228" s="2">
        <f t="shared" si="19"/>
        <v>10.7998046875</v>
      </c>
    </row>
    <row r="229" spans="1:9" x14ac:dyDescent="0.2">
      <c r="A229" s="2">
        <v>30</v>
      </c>
      <c r="B229" s="4">
        <f t="shared" si="15"/>
        <v>0.11764705882352941</v>
      </c>
      <c r="C229" s="6">
        <f>$L$7*B229/((1+$L$7)-B229)</f>
        <v>6.3091482649842269E-3</v>
      </c>
      <c r="D229" s="3">
        <f>C229*(1-$L$6) + $L$6</f>
        <v>8.4552522417347675E-2</v>
      </c>
      <c r="E229" s="16">
        <f>E228-E228*$L$5</f>
        <v>1.0559423541518778E-3</v>
      </c>
      <c r="F229" s="2">
        <f t="shared" ref="F229:F259" si="20">ROUND(D229*127,0)</f>
        <v>11</v>
      </c>
      <c r="G229" s="2">
        <f t="shared" si="17"/>
        <v>120</v>
      </c>
      <c r="H229" s="2">
        <f t="shared" si="18"/>
        <v>6</v>
      </c>
      <c r="I229" s="2">
        <f t="shared" si="19"/>
        <v>10.685546875</v>
      </c>
    </row>
    <row r="230" spans="1:9" x14ac:dyDescent="0.2">
      <c r="A230" s="2">
        <v>29</v>
      </c>
      <c r="B230" s="4">
        <f t="shared" si="15"/>
        <v>0.11372549019607843</v>
      </c>
      <c r="C230" s="6">
        <f>$L$7*B230/((1+$L$7)-B230)</f>
        <v>6.0732984293193721E-3</v>
      </c>
      <c r="D230" s="3">
        <f>C230*(1-$L$6) + $L$6</f>
        <v>8.4335243434884771E-2</v>
      </c>
      <c r="E230" s="16">
        <f>E229-E229*$L$5</f>
        <v>1.0242640835273216E-3</v>
      </c>
      <c r="F230" s="2">
        <f t="shared" si="20"/>
        <v>11</v>
      </c>
      <c r="G230" s="2">
        <f t="shared" si="17"/>
        <v>116</v>
      </c>
      <c r="H230" s="2">
        <f t="shared" si="18"/>
        <v>6</v>
      </c>
      <c r="I230" s="2">
        <f t="shared" si="19"/>
        <v>10.685546875</v>
      </c>
    </row>
    <row r="231" spans="1:9" x14ac:dyDescent="0.2">
      <c r="A231" s="2">
        <v>28</v>
      </c>
      <c r="B231" s="4">
        <f t="shared" si="15"/>
        <v>0.10980392156862745</v>
      </c>
      <c r="C231" s="6">
        <f>$L$7*B231/((1+$L$7)-B231)</f>
        <v>5.8394160583941611E-3</v>
      </c>
      <c r="D231" s="3">
        <f>C231*(1-$L$6) + $L$6</f>
        <v>8.4119776998678078E-2</v>
      </c>
      <c r="E231" s="16">
        <f>E230-E230*$L$5</f>
        <v>9.9353616102150185E-4</v>
      </c>
      <c r="F231" s="2">
        <f t="shared" si="20"/>
        <v>11</v>
      </c>
      <c r="G231" s="2">
        <f t="shared" si="17"/>
        <v>112</v>
      </c>
      <c r="H231" s="2">
        <f t="shared" si="18"/>
        <v>6</v>
      </c>
      <c r="I231" s="2">
        <f t="shared" si="19"/>
        <v>10.685546875</v>
      </c>
    </row>
    <row r="232" spans="1:9" x14ac:dyDescent="0.2">
      <c r="A232" s="2">
        <v>27</v>
      </c>
      <c r="B232" s="4">
        <f t="shared" si="15"/>
        <v>0.10588235294117647</v>
      </c>
      <c r="C232" s="6">
        <f>$L$7*B232/((1+$L$7)-B232)</f>
        <v>5.6074766355140191E-3</v>
      </c>
      <c r="D232" s="3">
        <f>C232*(1-$L$6) + $L$6</f>
        <v>8.3906100522481417E-2</v>
      </c>
      <c r="E232" s="16">
        <f>E231-E231*$L$5</f>
        <v>9.6373007619085678E-4</v>
      </c>
      <c r="F232" s="2">
        <f t="shared" si="20"/>
        <v>11</v>
      </c>
      <c r="G232" s="2">
        <f t="shared" si="17"/>
        <v>108</v>
      </c>
      <c r="H232" s="2">
        <f t="shared" si="18"/>
        <v>6</v>
      </c>
      <c r="I232" s="2">
        <f t="shared" si="19"/>
        <v>10.685546875</v>
      </c>
    </row>
    <row r="233" spans="1:9" x14ac:dyDescent="0.2">
      <c r="A233" s="2">
        <v>26</v>
      </c>
      <c r="B233" s="4">
        <f t="shared" si="15"/>
        <v>0.10196078431372549</v>
      </c>
      <c r="C233" s="6">
        <f>$L$7*B233/((1+$L$7)-B233)</f>
        <v>5.3774560496380559E-3</v>
      </c>
      <c r="D233" s="3">
        <f>C233*(1-$L$6) + $L$6</f>
        <v>8.3694191793761044E-2</v>
      </c>
      <c r="E233" s="16">
        <f>E232-E232*$L$5</f>
        <v>9.3481817390513109E-4</v>
      </c>
      <c r="F233" s="2">
        <f t="shared" si="20"/>
        <v>11</v>
      </c>
      <c r="G233" s="2">
        <f t="shared" si="17"/>
        <v>104</v>
      </c>
      <c r="H233" s="2">
        <f t="shared" si="18"/>
        <v>5</v>
      </c>
      <c r="I233" s="2">
        <f t="shared" si="19"/>
        <v>10.5712890625</v>
      </c>
    </row>
    <row r="234" spans="1:9" x14ac:dyDescent="0.2">
      <c r="A234" s="2">
        <v>25</v>
      </c>
      <c r="B234" s="4">
        <f t="shared" si="15"/>
        <v>9.8039215686274508E-2</v>
      </c>
      <c r="C234" s="6">
        <f>$L$7*B234/((1+$L$7)-B234)</f>
        <v>5.1493305870236863E-3</v>
      </c>
      <c r="D234" s="3">
        <f>C234*(1-$L$6) + $L$6</f>
        <v>8.34840289659982E-2</v>
      </c>
      <c r="E234" s="16">
        <f>E233-E233*$L$5</f>
        <v>9.0677362868797715E-4</v>
      </c>
      <c r="F234" s="2">
        <f t="shared" si="20"/>
        <v>11</v>
      </c>
      <c r="G234" s="2">
        <f t="shared" si="17"/>
        <v>100</v>
      </c>
      <c r="H234" s="2">
        <f t="shared" si="18"/>
        <v>5</v>
      </c>
      <c r="I234" s="2">
        <f t="shared" si="19"/>
        <v>10.5712890625</v>
      </c>
    </row>
    <row r="235" spans="1:9" x14ac:dyDescent="0.2">
      <c r="A235" s="2">
        <v>24</v>
      </c>
      <c r="B235" s="4">
        <f t="shared" si="15"/>
        <v>9.4117647058823528E-2</v>
      </c>
      <c r="C235" s="6">
        <f>$L$7*B235/((1+$L$7)-B235)</f>
        <v>4.9230769230769232E-3</v>
      </c>
      <c r="D235" s="3">
        <f>C235*(1-$L$6) + $L$6</f>
        <v>8.3275590551181097E-2</v>
      </c>
      <c r="E235" s="16">
        <f>E234-E234*$L$5</f>
        <v>8.7957041982733781E-4</v>
      </c>
      <c r="F235" s="2">
        <f t="shared" si="20"/>
        <v>11</v>
      </c>
      <c r="G235" s="2">
        <f t="shared" si="17"/>
        <v>96</v>
      </c>
      <c r="H235" s="2">
        <f t="shared" si="18"/>
        <v>5</v>
      </c>
      <c r="I235" s="2">
        <f t="shared" si="19"/>
        <v>10.5712890625</v>
      </c>
    </row>
    <row r="236" spans="1:9" x14ac:dyDescent="0.2">
      <c r="A236" s="2">
        <v>23</v>
      </c>
      <c r="B236" s="4">
        <f t="shared" si="15"/>
        <v>9.0196078431372548E-2</v>
      </c>
      <c r="C236" s="6">
        <f>$L$7*B236/((1+$L$7)-B236)</f>
        <v>4.6986721144024511E-3</v>
      </c>
      <c r="D236" s="3">
        <f>C236*(1-$L$6) + $L$6</f>
        <v>8.3068855412480991E-2</v>
      </c>
      <c r="E236" s="16">
        <f>E235-E235*$L$5</f>
        <v>8.5318330723251773E-4</v>
      </c>
      <c r="F236" s="2">
        <f t="shared" si="20"/>
        <v>11</v>
      </c>
      <c r="G236" s="2">
        <f t="shared" si="17"/>
        <v>92</v>
      </c>
      <c r="H236" s="2">
        <f t="shared" si="18"/>
        <v>5</v>
      </c>
      <c r="I236" s="2">
        <f t="shared" si="19"/>
        <v>10.5712890625</v>
      </c>
    </row>
    <row r="237" spans="1:9" x14ac:dyDescent="0.2">
      <c r="A237" s="2">
        <v>22</v>
      </c>
      <c r="B237" s="4">
        <f t="shared" si="15"/>
        <v>8.6274509803921567E-2</v>
      </c>
      <c r="C237" s="6">
        <f>$L$7*B237/((1+$L$7)-B237)</f>
        <v>4.4760935910478127E-3</v>
      </c>
      <c r="D237" s="3">
        <f>C237*(1-$L$6) + $L$6</f>
        <v>8.2863802757107044E-2</v>
      </c>
      <c r="E237" s="16">
        <f>E236-E236*$L$5</f>
        <v>8.2758780801554224E-4</v>
      </c>
      <c r="F237" s="2">
        <f t="shared" si="20"/>
        <v>11</v>
      </c>
      <c r="G237" s="2">
        <f t="shared" si="17"/>
        <v>88</v>
      </c>
      <c r="H237" s="2">
        <f t="shared" si="18"/>
        <v>4</v>
      </c>
      <c r="I237" s="2">
        <f t="shared" si="19"/>
        <v>10.45703125</v>
      </c>
    </row>
    <row r="238" spans="1:9" x14ac:dyDescent="0.2">
      <c r="A238" s="2">
        <v>21</v>
      </c>
      <c r="B238" s="4">
        <f t="shared" si="15"/>
        <v>8.2352941176470587E-2</v>
      </c>
      <c r="C238" s="6">
        <f>$L$7*B238/((1+$L$7)-B238)</f>
        <v>4.2553191489361703E-3</v>
      </c>
      <c r="D238" s="3">
        <f>C238*(1-$L$6) + $L$6</f>
        <v>8.2660412129334893E-2</v>
      </c>
      <c r="E238" s="16">
        <f>E237-E237*$L$5</f>
        <v>8.0276017377507594E-4</v>
      </c>
      <c r="F238" s="2">
        <f t="shared" si="20"/>
        <v>10</v>
      </c>
      <c r="G238" s="2">
        <f t="shared" si="17"/>
        <v>84</v>
      </c>
      <c r="H238" s="2">
        <f t="shared" si="18"/>
        <v>4</v>
      </c>
      <c r="I238" s="2">
        <f t="shared" si="19"/>
        <v>10.45703125</v>
      </c>
    </row>
    <row r="239" spans="1:9" x14ac:dyDescent="0.2">
      <c r="A239" s="2">
        <v>20</v>
      </c>
      <c r="B239" s="4">
        <f t="shared" si="15"/>
        <v>7.8431372549019607E-2</v>
      </c>
      <c r="C239" s="6">
        <f>$L$7*B239/((1+$L$7)-B239)</f>
        <v>4.0363269424823402E-3</v>
      </c>
      <c r="D239" s="3">
        <f>C239*(1-$L$6) + $L$6</f>
        <v>8.2458663403704197E-2</v>
      </c>
      <c r="E239" s="16">
        <f>E238-E238*$L$5</f>
        <v>7.7867736856182372E-4</v>
      </c>
      <c r="F239" s="2">
        <f t="shared" si="20"/>
        <v>10</v>
      </c>
      <c r="G239" s="2">
        <f t="shared" si="17"/>
        <v>80</v>
      </c>
      <c r="H239" s="2">
        <f t="shared" si="18"/>
        <v>4</v>
      </c>
      <c r="I239" s="2">
        <f t="shared" si="19"/>
        <v>10.45703125</v>
      </c>
    </row>
    <row r="240" spans="1:9" x14ac:dyDescent="0.2">
      <c r="A240" s="2">
        <v>19</v>
      </c>
      <c r="B240" s="4">
        <f t="shared" si="15"/>
        <v>7.4509803921568626E-2</v>
      </c>
      <c r="C240" s="6">
        <f>$L$7*B240/((1+$L$7)-B240)</f>
        <v>3.8190954773869345E-3</v>
      </c>
      <c r="D240" s="3">
        <f>C240*(1-$L$6) + $L$6</f>
        <v>8.225853677838009E-2</v>
      </c>
      <c r="E240" s="16">
        <f>E239-E239*$L$5</f>
        <v>7.5531704750496896E-4</v>
      </c>
      <c r="F240" s="2">
        <f t="shared" si="20"/>
        <v>10</v>
      </c>
      <c r="G240" s="2">
        <f t="shared" si="17"/>
        <v>76</v>
      </c>
      <c r="H240" s="2">
        <f t="shared" si="18"/>
        <v>4</v>
      </c>
      <c r="I240" s="2">
        <f t="shared" si="19"/>
        <v>10.45703125</v>
      </c>
    </row>
    <row r="241" spans="1:9" x14ac:dyDescent="0.2">
      <c r="A241" s="2">
        <v>18</v>
      </c>
      <c r="B241" s="4">
        <f t="shared" si="15"/>
        <v>7.0588235294117646E-2</v>
      </c>
      <c r="C241" s="6">
        <f>$L$7*B241/((1+$L$7)-B241)</f>
        <v>3.6036036036036037E-3</v>
      </c>
      <c r="D241" s="3">
        <f>C241*(1-$L$6) + $L$6</f>
        <v>8.2060012768674181E-2</v>
      </c>
      <c r="E241" s="16">
        <f>E240-E240*$L$5</f>
        <v>7.3265753607981991E-4</v>
      </c>
      <c r="F241" s="2">
        <f t="shared" si="20"/>
        <v>10</v>
      </c>
      <c r="G241" s="2">
        <f t="shared" si="17"/>
        <v>72</v>
      </c>
      <c r="H241" s="2">
        <f t="shared" si="18"/>
        <v>4</v>
      </c>
      <c r="I241" s="2">
        <f t="shared" si="19"/>
        <v>10.45703125</v>
      </c>
    </row>
    <row r="242" spans="1:9" x14ac:dyDescent="0.2">
      <c r="A242" s="2">
        <v>17</v>
      </c>
      <c r="B242" s="4">
        <f t="shared" si="15"/>
        <v>6.6666666666666666E-2</v>
      </c>
      <c r="C242" s="6">
        <f>$L$7*B242/((1+$L$7)-B242)</f>
        <v>3.3898305084745762E-3</v>
      </c>
      <c r="D242" s="3">
        <f>C242*(1-$L$6) + $L$6</f>
        <v>8.1863072200720671E-2</v>
      </c>
      <c r="E242" s="16">
        <f>E241-E241*$L$5</f>
        <v>7.1067780999742531E-4</v>
      </c>
      <c r="F242" s="2">
        <f t="shared" si="20"/>
        <v>10</v>
      </c>
      <c r="G242" s="2">
        <f t="shared" si="17"/>
        <v>68</v>
      </c>
      <c r="H242" s="2">
        <f t="shared" si="18"/>
        <v>3</v>
      </c>
      <c r="I242" s="2">
        <f t="shared" si="19"/>
        <v>10.3427734375</v>
      </c>
    </row>
    <row r="243" spans="1:9" x14ac:dyDescent="0.2">
      <c r="A243" s="2">
        <v>16</v>
      </c>
      <c r="B243" s="4">
        <f t="shared" si="15"/>
        <v>6.2745098039215685E-2</v>
      </c>
      <c r="C243" s="6">
        <f>$L$7*B243/((1+$L$7)-B243)</f>
        <v>3.1777557100297915E-3</v>
      </c>
      <c r="D243" s="3">
        <f>C243*(1-$L$6) + $L$6</f>
        <v>8.1667696205303036E-2</v>
      </c>
      <c r="E243" s="16">
        <f>E242-E242*$L$5</f>
        <v>6.8935747569750258E-4</v>
      </c>
      <c r="F243" s="2">
        <f t="shared" si="20"/>
        <v>10</v>
      </c>
      <c r="G243" s="2">
        <f t="shared" si="17"/>
        <v>64</v>
      </c>
      <c r="H243" s="2">
        <f t="shared" si="18"/>
        <v>3</v>
      </c>
      <c r="I243" s="2">
        <f t="shared" si="19"/>
        <v>10.3427734375</v>
      </c>
    </row>
    <row r="244" spans="1:9" x14ac:dyDescent="0.2">
      <c r="A244" s="2">
        <v>15</v>
      </c>
      <c r="B244" s="4">
        <f t="shared" si="15"/>
        <v>5.8823529411764705E-2</v>
      </c>
      <c r="C244" s="6">
        <f>$L$7*B244/((1+$L$7)-B244)</f>
        <v>2.9673590504451035E-3</v>
      </c>
      <c r="D244" s="3">
        <f>C244*(1-$L$6) + $L$6</f>
        <v>8.1473866211827381E-2</v>
      </c>
      <c r="E244" s="16">
        <f>E243-E243*$L$5</f>
        <v>6.6867675142657753E-4</v>
      </c>
      <c r="F244" s="2">
        <f t="shared" si="20"/>
        <v>10</v>
      </c>
      <c r="G244" s="2">
        <f t="shared" si="17"/>
        <v>60</v>
      </c>
      <c r="H244" s="2">
        <f t="shared" si="18"/>
        <v>3</v>
      </c>
      <c r="I244" s="2">
        <f t="shared" si="19"/>
        <v>10.3427734375</v>
      </c>
    </row>
    <row r="245" spans="1:9" x14ac:dyDescent="0.2">
      <c r="A245" s="2">
        <v>14</v>
      </c>
      <c r="B245" s="4">
        <f t="shared" si="15"/>
        <v>5.4901960784313725E-2</v>
      </c>
      <c r="C245" s="6">
        <f>$L$7*B245/((1+$L$7)-B245)</f>
        <v>2.7586206896551722E-3</v>
      </c>
      <c r="D245" s="3">
        <f>C245*(1-$L$6) + $L$6</f>
        <v>8.1281563942438226E-2</v>
      </c>
      <c r="E245" s="16">
        <f>E244-E244*$L$5</f>
        <v>6.4861644888378016E-4</v>
      </c>
      <c r="F245" s="2">
        <f t="shared" si="20"/>
        <v>10</v>
      </c>
      <c r="G245" s="2">
        <f t="shared" si="17"/>
        <v>56</v>
      </c>
      <c r="H245" s="2">
        <f t="shared" si="18"/>
        <v>3</v>
      </c>
      <c r="I245" s="2">
        <f t="shared" si="19"/>
        <v>10.3427734375</v>
      </c>
    </row>
    <row r="246" spans="1:9" x14ac:dyDescent="0.2">
      <c r="A246" s="2">
        <v>13</v>
      </c>
      <c r="B246" s="4">
        <f t="shared" si="15"/>
        <v>5.0980392156862744E-2</v>
      </c>
      <c r="C246" s="6">
        <f>$L$7*B246/((1+$L$7)-B246)</f>
        <v>2.5515210991167814E-3</v>
      </c>
      <c r="D246" s="3">
        <f>C246*(1-$L$6) + $L$6</f>
        <v>8.1090771406272938E-2</v>
      </c>
      <c r="E246" s="16">
        <f>E245-E245*$L$5</f>
        <v>6.2915795541726677E-4</v>
      </c>
      <c r="F246" s="2">
        <f t="shared" si="20"/>
        <v>10</v>
      </c>
      <c r="G246" s="2">
        <f t="shared" si="17"/>
        <v>52</v>
      </c>
      <c r="H246" s="2">
        <f t="shared" si="18"/>
        <v>3</v>
      </c>
      <c r="I246" s="2">
        <f t="shared" si="19"/>
        <v>10.3427734375</v>
      </c>
    </row>
    <row r="247" spans="1:9" x14ac:dyDescent="0.2">
      <c r="A247" s="2">
        <v>12</v>
      </c>
      <c r="B247" s="4">
        <f t="shared" si="15"/>
        <v>4.7058823529411764E-2</v>
      </c>
      <c r="C247" s="6">
        <f>$L$7*B247/((1+$L$7)-B247)</f>
        <v>2.3460410557184755E-3</v>
      </c>
      <c r="D247" s="3">
        <f>C247*(1-$L$6) + $L$6</f>
        <v>8.0901470893850871E-2</v>
      </c>
      <c r="E247" s="16">
        <f>E246-E246*$L$5</f>
        <v>6.1028321675474879E-4</v>
      </c>
      <c r="F247" s="2">
        <f t="shared" si="20"/>
        <v>10</v>
      </c>
      <c r="G247" s="2">
        <f t="shared" si="17"/>
        <v>48</v>
      </c>
      <c r="H247" s="2">
        <f t="shared" si="18"/>
        <v>2</v>
      </c>
      <c r="I247" s="2">
        <f t="shared" si="19"/>
        <v>10.228515625</v>
      </c>
    </row>
    <row r="248" spans="1:9" x14ac:dyDescent="0.2">
      <c r="A248" s="2">
        <v>11</v>
      </c>
      <c r="B248" s="4">
        <f t="shared" si="15"/>
        <v>4.3137254901960784E-2</v>
      </c>
      <c r="C248" s="6">
        <f>$L$7*B248/((1+$L$7)-B248)</f>
        <v>2.1421616358325217E-3</v>
      </c>
      <c r="D248" s="3">
        <f>C248*(1-$L$6) + $L$6</f>
        <v>8.0713644971593737E-2</v>
      </c>
      <c r="E248" s="16">
        <f>E247-E247*$L$5</f>
        <v>5.9197472025210632E-4</v>
      </c>
      <c r="F248" s="2">
        <f t="shared" si="20"/>
        <v>10</v>
      </c>
      <c r="G248" s="2">
        <f t="shared" si="17"/>
        <v>44</v>
      </c>
      <c r="H248" s="2">
        <f t="shared" si="18"/>
        <v>2</v>
      </c>
      <c r="I248" s="2">
        <f t="shared" si="19"/>
        <v>10.228515625</v>
      </c>
    </row>
    <row r="249" spans="1:9" x14ac:dyDescent="0.2">
      <c r="A249" s="2">
        <v>10</v>
      </c>
      <c r="B249" s="4">
        <f t="shared" si="15"/>
        <v>3.9215686274509803E-2</v>
      </c>
      <c r="C249" s="6">
        <f>$L$7*B249/((1+$L$7)-B249)</f>
        <v>1.9398642095053346E-3</v>
      </c>
      <c r="D249" s="3">
        <f>C249*(1-$L$6) + $L$6</f>
        <v>8.0527276476473411E-2</v>
      </c>
      <c r="E249" s="16">
        <f>E248-E248*$L$5</f>
        <v>5.7421547864454315E-4</v>
      </c>
      <c r="F249" s="2">
        <f t="shared" si="20"/>
        <v>10</v>
      </c>
      <c r="G249" s="2">
        <f t="shared" si="17"/>
        <v>40</v>
      </c>
      <c r="H249" s="2">
        <f t="shared" si="18"/>
        <v>2</v>
      </c>
      <c r="I249" s="2">
        <f t="shared" si="19"/>
        <v>10.228515625</v>
      </c>
    </row>
    <row r="250" spans="1:9" x14ac:dyDescent="0.2">
      <c r="A250" s="2">
        <v>9</v>
      </c>
      <c r="B250" s="4">
        <f t="shared" si="15"/>
        <v>3.5294117647058823E-2</v>
      </c>
      <c r="C250" s="6">
        <f>$L$7*B250/((1+$L$7)-B250)</f>
        <v>1.7391304347826088E-3</v>
      </c>
      <c r="D250" s="3">
        <f>C250*(1-$L$6) + $L$6</f>
        <v>8.0342348510783979E-2</v>
      </c>
      <c r="E250" s="16">
        <f>E249-E249*$L$5</f>
        <v>5.5698901428520684E-4</v>
      </c>
      <c r="F250" s="2">
        <f t="shared" si="20"/>
        <v>10</v>
      </c>
      <c r="G250" s="2">
        <f t="shared" si="17"/>
        <v>36</v>
      </c>
      <c r="H250" s="2">
        <f t="shared" si="18"/>
        <v>2</v>
      </c>
      <c r="I250" s="2">
        <f t="shared" si="19"/>
        <v>10.228515625</v>
      </c>
    </row>
    <row r="251" spans="1:9" x14ac:dyDescent="0.2">
      <c r="A251" s="2">
        <v>8</v>
      </c>
      <c r="B251" s="4">
        <f t="shared" si="15"/>
        <v>3.1372549019607843E-2</v>
      </c>
      <c r="C251" s="6">
        <f>$L$7*B251/((1+$L$7)-B251)</f>
        <v>1.539942252165544E-3</v>
      </c>
      <c r="D251" s="3">
        <f>C251*(1-$L$6) + $L$6</f>
        <v>8.0158844437034402E-2</v>
      </c>
      <c r="E251" s="16">
        <f>E250-E250*$L$5</f>
        <v>5.4027934385665068E-4</v>
      </c>
      <c r="F251" s="2">
        <f t="shared" si="20"/>
        <v>10</v>
      </c>
      <c r="G251" s="2">
        <f t="shared" si="17"/>
        <v>32</v>
      </c>
      <c r="H251" s="2">
        <f t="shared" si="18"/>
        <v>2</v>
      </c>
      <c r="I251" s="2">
        <f t="shared" si="19"/>
        <v>10.228515625</v>
      </c>
    </row>
    <row r="252" spans="1:9" x14ac:dyDescent="0.2">
      <c r="A252" s="2">
        <v>7</v>
      </c>
      <c r="B252" s="4">
        <f t="shared" si="15"/>
        <v>2.7450980392156862E-2</v>
      </c>
      <c r="C252" s="6">
        <f>$L$7*B252/((1+$L$7)-B252)</f>
        <v>1.3422818791946308E-3</v>
      </c>
      <c r="D252" s="3">
        <f>C252*(1-$L$6) + $L$6</f>
        <v>7.9976747872958831E-2</v>
      </c>
      <c r="E252" s="16">
        <f>E251-E251*$L$5</f>
        <v>5.240709635409512E-4</v>
      </c>
      <c r="F252" s="2">
        <f t="shared" si="20"/>
        <v>10</v>
      </c>
      <c r="G252" s="2">
        <f t="shared" si="17"/>
        <v>28</v>
      </c>
      <c r="H252" s="2">
        <f t="shared" si="18"/>
        <v>1</v>
      </c>
      <c r="I252" s="2">
        <f t="shared" si="19"/>
        <v>10.1142578125</v>
      </c>
    </row>
    <row r="253" spans="1:9" x14ac:dyDescent="0.2">
      <c r="A253" s="2">
        <v>6</v>
      </c>
      <c r="B253" s="4">
        <f t="shared" si="15"/>
        <v>2.3529411764705882E-2</v>
      </c>
      <c r="C253" s="6">
        <f>$L$7*B253/((1+$L$7)-B253)</f>
        <v>1.146131805157593E-3</v>
      </c>
      <c r="D253" s="3">
        <f>C253*(1-$L$6) + $L$6</f>
        <v>7.9796042686641241E-2</v>
      </c>
      <c r="E253" s="16">
        <f>E252-E252*$L$5</f>
        <v>5.0834883463472271E-4</v>
      </c>
      <c r="F253" s="2">
        <f t="shared" si="20"/>
        <v>10</v>
      </c>
      <c r="G253" s="2">
        <f t="shared" si="17"/>
        <v>24</v>
      </c>
      <c r="H253" s="2">
        <f t="shared" si="18"/>
        <v>1</v>
      </c>
      <c r="I253" s="2">
        <f t="shared" si="19"/>
        <v>10.1142578125</v>
      </c>
    </row>
    <row r="254" spans="1:9" x14ac:dyDescent="0.2">
      <c r="A254" s="2">
        <v>5</v>
      </c>
      <c r="B254" s="4">
        <f t="shared" si="15"/>
        <v>1.9607843137254902E-2</v>
      </c>
      <c r="C254" s="6">
        <f>$L$7*B254/((1+$L$7)-B254)</f>
        <v>9.514747859181731E-4</v>
      </c>
      <c r="D254" s="3">
        <f>C254*(1-$L$6) + $L$6</f>
        <v>7.9616712991751382E-2</v>
      </c>
      <c r="E254" s="16">
        <f>E253-E253*$L$5</f>
        <v>4.9309836959568107E-4</v>
      </c>
      <c r="F254" s="2">
        <f t="shared" si="20"/>
        <v>10</v>
      </c>
      <c r="G254" s="2">
        <f t="shared" si="17"/>
        <v>20</v>
      </c>
      <c r="H254" s="2">
        <f t="shared" si="18"/>
        <v>1</v>
      </c>
      <c r="I254" s="2">
        <f t="shared" si="19"/>
        <v>10.1142578125</v>
      </c>
    </row>
    <row r="255" spans="1:9" x14ac:dyDescent="0.2">
      <c r="A255" s="2">
        <v>4</v>
      </c>
      <c r="B255" s="4">
        <f t="shared" si="15"/>
        <v>1.5686274509803921E-2</v>
      </c>
      <c r="C255" s="6">
        <f>$L$7*B255/((1+$L$7)-B255)</f>
        <v>7.5829383886255922E-4</v>
      </c>
      <c r="D255" s="3">
        <f>C255*(1-$L$6) + $L$6</f>
        <v>7.9438743142889123E-2</v>
      </c>
      <c r="E255" s="16">
        <f>E254-E254*$L$5</f>
        <v>4.7830541850781065E-4</v>
      </c>
      <c r="F255" s="2">
        <f t="shared" si="20"/>
        <v>10</v>
      </c>
      <c r="G255" s="2">
        <f t="shared" si="17"/>
        <v>16</v>
      </c>
      <c r="H255" s="2">
        <f t="shared" si="18"/>
        <v>1</v>
      </c>
      <c r="I255" s="2">
        <f t="shared" si="19"/>
        <v>10.1142578125</v>
      </c>
    </row>
    <row r="256" spans="1:9" x14ac:dyDescent="0.2">
      <c r="A256" s="2">
        <v>3</v>
      </c>
      <c r="B256" s="4">
        <f t="shared" si="15"/>
        <v>1.1764705882352941E-2</v>
      </c>
      <c r="C256" s="6">
        <f>$L$7*B256/((1+$L$7)-B256)</f>
        <v>5.6657223796033991E-4</v>
      </c>
      <c r="D256" s="3">
        <f>C256*(1-$L$6) + $L$6</f>
        <v>7.9262117731034323E-2</v>
      </c>
      <c r="E256" s="16">
        <f>E255-E255*$L$5</f>
        <v>4.6395625595257631E-4</v>
      </c>
      <c r="F256" s="2">
        <f t="shared" si="20"/>
        <v>10</v>
      </c>
      <c r="G256" s="2">
        <f t="shared" si="17"/>
        <v>12</v>
      </c>
      <c r="H256" s="2">
        <f t="shared" si="18"/>
        <v>1</v>
      </c>
      <c r="I256" s="2">
        <f t="shared" si="19"/>
        <v>10.1142578125</v>
      </c>
    </row>
    <row r="257" spans="1:9" x14ac:dyDescent="0.2">
      <c r="A257" s="2">
        <v>2</v>
      </c>
      <c r="B257" s="4">
        <f t="shared" si="15"/>
        <v>7.8431372549019607E-3</v>
      </c>
      <c r="C257" s="6">
        <f>$L$7*B257/((1+$L$7)-B257)</f>
        <v>3.7629350893697084E-4</v>
      </c>
      <c r="D257" s="3">
        <f>C257*(1-$L$6) + $L$6</f>
        <v>7.9086821579099409E-2</v>
      </c>
      <c r="E257" s="16">
        <f>E256-E256*$L$5</f>
        <v>4.5003756827399901E-4</v>
      </c>
      <c r="F257" s="2">
        <f t="shared" si="20"/>
        <v>10</v>
      </c>
      <c r="G257" s="2">
        <f t="shared" si="17"/>
        <v>8</v>
      </c>
      <c r="H257" s="2">
        <f t="shared" si="18"/>
        <v>0</v>
      </c>
      <c r="I257" s="2">
        <f t="shared" si="19"/>
        <v>10</v>
      </c>
    </row>
    <row r="258" spans="1:9" x14ac:dyDescent="0.2">
      <c r="A258" s="2">
        <v>1</v>
      </c>
      <c r="B258" s="4">
        <f t="shared" si="15"/>
        <v>3.9215686274509803E-3</v>
      </c>
      <c r="C258" s="6">
        <f>$L$7*B258/((1+$L$7)-B258)</f>
        <v>1.8744142455482662E-4</v>
      </c>
      <c r="D258" s="3">
        <f>C258*(1-$L$6) + $L$6</f>
        <v>7.8912839737582008E-2</v>
      </c>
      <c r="E258" s="16">
        <f>E257-E257*$L$5</f>
        <v>4.3653644122577907E-4</v>
      </c>
      <c r="F258" s="2">
        <f t="shared" si="20"/>
        <v>10</v>
      </c>
      <c r="G258" s="2">
        <f t="shared" si="17"/>
        <v>4</v>
      </c>
      <c r="H258" s="2">
        <f t="shared" si="18"/>
        <v>0</v>
      </c>
      <c r="I258" s="2">
        <f t="shared" si="19"/>
        <v>10</v>
      </c>
    </row>
    <row r="259" spans="1:9" x14ac:dyDescent="0.2">
      <c r="A259" s="2">
        <v>0</v>
      </c>
      <c r="B259" s="4">
        <f t="shared" si="15"/>
        <v>0</v>
      </c>
      <c r="C259" s="6">
        <f>$L$7*B259/((1+$L$7)-B259)</f>
        <v>0</v>
      </c>
      <c r="D259" s="3">
        <f>C259*(1-$L$6) + $L$6</f>
        <v>7.874015748031496E-2</v>
      </c>
      <c r="E259" s="16">
        <f>E258-E258*$L$5</f>
        <v>4.2344034798900569E-4</v>
      </c>
      <c r="F259" s="2">
        <f t="shared" si="20"/>
        <v>10</v>
      </c>
      <c r="G259" s="2">
        <f t="shared" si="17"/>
        <v>0</v>
      </c>
      <c r="H259" s="2">
        <f t="shared" si="18"/>
        <v>0</v>
      </c>
      <c r="I259" s="2">
        <f t="shared" si="19"/>
        <v>10</v>
      </c>
    </row>
    <row r="260" spans="1:9" x14ac:dyDescent="0.2">
      <c r="A260" s="8"/>
      <c r="B260" s="8"/>
    </row>
    <row r="261" spans="1:9" x14ac:dyDescent="0.2">
      <c r="A261" s="8"/>
      <c r="B261" s="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Heise Zeitschriften Verlag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 Redaktion</dc:creator>
  <cp:lastModifiedBy>Carsten</cp:lastModifiedBy>
  <dcterms:created xsi:type="dcterms:W3CDTF">2012-09-12T17:30:28Z</dcterms:created>
  <dcterms:modified xsi:type="dcterms:W3CDTF">2026-03-21T11:07:30Z</dcterms:modified>
</cp:coreProperties>
</file>