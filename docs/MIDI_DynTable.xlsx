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Dropbox\FatarScanController\AVR\MIDI-Scancontroller\docs\"/>
    </mc:Choice>
  </mc:AlternateContent>
  <bookViews>
    <workbookView xWindow="480" yWindow="45" windowWidth="19995" windowHeight="15585"/>
  </bookViews>
  <sheets>
    <sheet name="Tabelle1" sheetId="1" r:id="rId1"/>
  </sheets>
  <calcPr calcId="162913"/>
</workbook>
</file>

<file path=xl/calcChain.xml><?xml version="1.0" encoding="utf-8"?>
<calcChain xmlns="http://schemas.openxmlformats.org/spreadsheetml/2006/main">
  <c r="F5" i="1" l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I6" i="1"/>
  <c r="I7" i="1" l="1"/>
  <c r="B3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4" i="1"/>
  <c r="C33" i="1" l="1"/>
  <c r="D33" i="1" s="1"/>
  <c r="E33" i="1" s="1"/>
  <c r="C151" i="1"/>
  <c r="D151" i="1" s="1"/>
  <c r="E151" i="1" s="1"/>
  <c r="C150" i="1"/>
  <c r="D150" i="1" s="1"/>
  <c r="E150" i="1" s="1"/>
  <c r="C14" i="1"/>
  <c r="D14" i="1" s="1"/>
  <c r="E14" i="1" s="1"/>
  <c r="C149" i="1"/>
  <c r="D149" i="1" s="1"/>
  <c r="E149" i="1" s="1"/>
  <c r="C16" i="1"/>
  <c r="D16" i="1" s="1"/>
  <c r="E16" i="1" s="1"/>
  <c r="C247" i="1"/>
  <c r="D247" i="1" s="1"/>
  <c r="E247" i="1" s="1"/>
  <c r="C127" i="1"/>
  <c r="D127" i="1" s="1"/>
  <c r="E127" i="1" s="1"/>
  <c r="C246" i="1"/>
  <c r="D246" i="1" s="1"/>
  <c r="E246" i="1" s="1"/>
  <c r="C126" i="1"/>
  <c r="D126" i="1" s="1"/>
  <c r="E126" i="1" s="1"/>
  <c r="C245" i="1"/>
  <c r="D245" i="1" s="1"/>
  <c r="E245" i="1" s="1"/>
  <c r="C125" i="1"/>
  <c r="D125" i="1" s="1"/>
  <c r="E125" i="1" s="1"/>
  <c r="C223" i="1"/>
  <c r="D223" i="1" s="1"/>
  <c r="E223" i="1" s="1"/>
  <c r="C103" i="1"/>
  <c r="D103" i="1" s="1"/>
  <c r="E103" i="1" s="1"/>
  <c r="C222" i="1"/>
  <c r="D222" i="1" s="1"/>
  <c r="E222" i="1" s="1"/>
  <c r="C102" i="1"/>
  <c r="D102" i="1" s="1"/>
  <c r="E102" i="1" s="1"/>
  <c r="C221" i="1"/>
  <c r="D221" i="1" s="1"/>
  <c r="E221" i="1" s="1"/>
  <c r="C79" i="1"/>
  <c r="D79" i="1" s="1"/>
  <c r="E79" i="1" s="1"/>
  <c r="C199" i="1"/>
  <c r="D199" i="1" s="1"/>
  <c r="E199" i="1" s="1"/>
  <c r="C77" i="1"/>
  <c r="D77" i="1" s="1"/>
  <c r="E77" i="1" s="1"/>
  <c r="C198" i="1"/>
  <c r="D198" i="1" s="1"/>
  <c r="E198" i="1" s="1"/>
  <c r="C55" i="1"/>
  <c r="D55" i="1" s="1"/>
  <c r="E55" i="1" s="1"/>
  <c r="C175" i="1"/>
  <c r="D175" i="1" s="1"/>
  <c r="E175" i="1" s="1"/>
  <c r="C53" i="1"/>
  <c r="D53" i="1" s="1"/>
  <c r="E53" i="1" s="1"/>
  <c r="C173" i="1"/>
  <c r="D173" i="1" s="1"/>
  <c r="E173" i="1" s="1"/>
  <c r="C54" i="1"/>
  <c r="D54" i="1" s="1"/>
  <c r="E54" i="1" s="1"/>
  <c r="C197" i="1"/>
  <c r="D197" i="1" s="1"/>
  <c r="E197" i="1" s="1"/>
  <c r="C101" i="1"/>
  <c r="D101" i="1" s="1"/>
  <c r="E101" i="1" s="1"/>
  <c r="C15" i="1"/>
  <c r="D15" i="1" s="1"/>
  <c r="E15" i="1" s="1"/>
  <c r="C174" i="1"/>
  <c r="D174" i="1" s="1"/>
  <c r="E174" i="1" s="1"/>
  <c r="C78" i="1"/>
  <c r="D78" i="1" s="1"/>
  <c r="E78" i="1" s="1"/>
  <c r="C13" i="1"/>
  <c r="D13" i="1" s="1"/>
  <c r="E13" i="1" s="1"/>
  <c r="C244" i="1"/>
  <c r="D244" i="1" s="1"/>
  <c r="E244" i="1" s="1"/>
  <c r="C220" i="1"/>
  <c r="D220" i="1" s="1"/>
  <c r="E220" i="1" s="1"/>
  <c r="C196" i="1"/>
  <c r="D196" i="1" s="1"/>
  <c r="E196" i="1" s="1"/>
  <c r="C172" i="1"/>
  <c r="D172" i="1" s="1"/>
  <c r="E172" i="1" s="1"/>
  <c r="C148" i="1"/>
  <c r="D148" i="1" s="1"/>
  <c r="E148" i="1" s="1"/>
  <c r="C124" i="1"/>
  <c r="D124" i="1" s="1"/>
  <c r="E124" i="1" s="1"/>
  <c r="C100" i="1"/>
  <c r="D100" i="1" s="1"/>
  <c r="E100" i="1" s="1"/>
  <c r="C76" i="1"/>
  <c r="D76" i="1" s="1"/>
  <c r="E76" i="1" s="1"/>
  <c r="C52" i="1"/>
  <c r="D52" i="1" s="1"/>
  <c r="E52" i="1" s="1"/>
  <c r="C31" i="1"/>
  <c r="D31" i="1" s="1"/>
  <c r="E31" i="1" s="1"/>
  <c r="C7" i="1"/>
  <c r="D7" i="1" s="1"/>
  <c r="E7" i="1" s="1"/>
  <c r="C238" i="1"/>
  <c r="D238" i="1" s="1"/>
  <c r="E238" i="1" s="1"/>
  <c r="C214" i="1"/>
  <c r="D214" i="1" s="1"/>
  <c r="E214" i="1" s="1"/>
  <c r="C190" i="1"/>
  <c r="D190" i="1" s="1"/>
  <c r="E190" i="1" s="1"/>
  <c r="C166" i="1"/>
  <c r="D166" i="1" s="1"/>
  <c r="E166" i="1" s="1"/>
  <c r="C142" i="1"/>
  <c r="D142" i="1" s="1"/>
  <c r="E142" i="1" s="1"/>
  <c r="C118" i="1"/>
  <c r="D118" i="1" s="1"/>
  <c r="E118" i="1" s="1"/>
  <c r="C94" i="1"/>
  <c r="D94" i="1" s="1"/>
  <c r="E94" i="1" s="1"/>
  <c r="C70" i="1"/>
  <c r="D70" i="1" s="1"/>
  <c r="E70" i="1" s="1"/>
  <c r="C46" i="1"/>
  <c r="D46" i="1" s="1"/>
  <c r="E46" i="1" s="1"/>
  <c r="C29" i="1"/>
  <c r="D29" i="1" s="1"/>
  <c r="E29" i="1" s="1"/>
  <c r="C5" i="1"/>
  <c r="D5" i="1" s="1"/>
  <c r="E5" i="1" s="1"/>
  <c r="C236" i="1"/>
  <c r="D236" i="1" s="1"/>
  <c r="E236" i="1" s="1"/>
  <c r="C212" i="1"/>
  <c r="D212" i="1" s="1"/>
  <c r="E212" i="1" s="1"/>
  <c r="C188" i="1"/>
  <c r="D188" i="1" s="1"/>
  <c r="E188" i="1" s="1"/>
  <c r="C164" i="1"/>
  <c r="D164" i="1" s="1"/>
  <c r="E164" i="1" s="1"/>
  <c r="C140" i="1"/>
  <c r="D140" i="1" s="1"/>
  <c r="E140" i="1" s="1"/>
  <c r="C116" i="1"/>
  <c r="D116" i="1" s="1"/>
  <c r="E116" i="1" s="1"/>
  <c r="C92" i="1"/>
  <c r="D92" i="1" s="1"/>
  <c r="E92" i="1" s="1"/>
  <c r="C68" i="1"/>
  <c r="D68" i="1" s="1"/>
  <c r="E68" i="1" s="1"/>
  <c r="C44" i="1"/>
  <c r="D44" i="1" s="1"/>
  <c r="E44" i="1" s="1"/>
  <c r="C28" i="1"/>
  <c r="D28" i="1" s="1"/>
  <c r="E28" i="1" s="1"/>
  <c r="C259" i="1"/>
  <c r="C235" i="1"/>
  <c r="D235" i="1" s="1"/>
  <c r="E235" i="1" s="1"/>
  <c r="C211" i="1"/>
  <c r="D211" i="1" s="1"/>
  <c r="E211" i="1" s="1"/>
  <c r="C187" i="1"/>
  <c r="D187" i="1" s="1"/>
  <c r="E187" i="1" s="1"/>
  <c r="C163" i="1"/>
  <c r="D163" i="1" s="1"/>
  <c r="E163" i="1" s="1"/>
  <c r="C139" i="1"/>
  <c r="D139" i="1" s="1"/>
  <c r="E139" i="1" s="1"/>
  <c r="C115" i="1"/>
  <c r="D115" i="1" s="1"/>
  <c r="E115" i="1" s="1"/>
  <c r="C91" i="1"/>
  <c r="D91" i="1" s="1"/>
  <c r="E91" i="1" s="1"/>
  <c r="C67" i="1"/>
  <c r="D67" i="1" s="1"/>
  <c r="E67" i="1" s="1"/>
  <c r="C43" i="1"/>
  <c r="D43" i="1" s="1"/>
  <c r="E43" i="1" s="1"/>
  <c r="C27" i="1"/>
  <c r="D27" i="1" s="1"/>
  <c r="E27" i="1" s="1"/>
  <c r="C258" i="1"/>
  <c r="D258" i="1" s="1"/>
  <c r="E258" i="1" s="1"/>
  <c r="C234" i="1"/>
  <c r="D234" i="1" s="1"/>
  <c r="E234" i="1" s="1"/>
  <c r="C210" i="1"/>
  <c r="D210" i="1" s="1"/>
  <c r="E210" i="1" s="1"/>
  <c r="C186" i="1"/>
  <c r="D186" i="1" s="1"/>
  <c r="E186" i="1" s="1"/>
  <c r="C162" i="1"/>
  <c r="D162" i="1" s="1"/>
  <c r="E162" i="1" s="1"/>
  <c r="C138" i="1"/>
  <c r="D138" i="1" s="1"/>
  <c r="E138" i="1" s="1"/>
  <c r="C114" i="1"/>
  <c r="D114" i="1" s="1"/>
  <c r="E114" i="1" s="1"/>
  <c r="C90" i="1"/>
  <c r="D90" i="1" s="1"/>
  <c r="E90" i="1" s="1"/>
  <c r="C66" i="1"/>
  <c r="D66" i="1" s="1"/>
  <c r="E66" i="1" s="1"/>
  <c r="C42" i="1"/>
  <c r="D42" i="1" s="1"/>
  <c r="E42" i="1" s="1"/>
  <c r="C26" i="1"/>
  <c r="D26" i="1" s="1"/>
  <c r="E26" i="1" s="1"/>
  <c r="C257" i="1"/>
  <c r="D257" i="1" s="1"/>
  <c r="E257" i="1" s="1"/>
  <c r="C233" i="1"/>
  <c r="D233" i="1" s="1"/>
  <c r="E233" i="1" s="1"/>
  <c r="C209" i="1"/>
  <c r="D209" i="1" s="1"/>
  <c r="E209" i="1" s="1"/>
  <c r="C185" i="1"/>
  <c r="D185" i="1" s="1"/>
  <c r="E185" i="1" s="1"/>
  <c r="C161" i="1"/>
  <c r="D161" i="1" s="1"/>
  <c r="E161" i="1" s="1"/>
  <c r="C137" i="1"/>
  <c r="D137" i="1" s="1"/>
  <c r="E137" i="1" s="1"/>
  <c r="C113" i="1"/>
  <c r="D113" i="1" s="1"/>
  <c r="E113" i="1" s="1"/>
  <c r="C89" i="1"/>
  <c r="D89" i="1" s="1"/>
  <c r="E89" i="1" s="1"/>
  <c r="C65" i="1"/>
  <c r="D65" i="1" s="1"/>
  <c r="E65" i="1" s="1"/>
  <c r="C41" i="1"/>
  <c r="D41" i="1" s="1"/>
  <c r="E41" i="1" s="1"/>
  <c r="C25" i="1"/>
  <c r="D25" i="1" s="1"/>
  <c r="E25" i="1" s="1"/>
  <c r="C256" i="1"/>
  <c r="D256" i="1" s="1"/>
  <c r="E256" i="1" s="1"/>
  <c r="C232" i="1"/>
  <c r="D232" i="1" s="1"/>
  <c r="E232" i="1" s="1"/>
  <c r="C208" i="1"/>
  <c r="D208" i="1" s="1"/>
  <c r="E208" i="1" s="1"/>
  <c r="C184" i="1"/>
  <c r="D184" i="1" s="1"/>
  <c r="E184" i="1" s="1"/>
  <c r="C160" i="1"/>
  <c r="D160" i="1" s="1"/>
  <c r="E160" i="1" s="1"/>
  <c r="C136" i="1"/>
  <c r="D136" i="1" s="1"/>
  <c r="E136" i="1" s="1"/>
  <c r="C112" i="1"/>
  <c r="D112" i="1" s="1"/>
  <c r="E112" i="1" s="1"/>
  <c r="C88" i="1"/>
  <c r="D88" i="1" s="1"/>
  <c r="E88" i="1" s="1"/>
  <c r="C64" i="1"/>
  <c r="D64" i="1" s="1"/>
  <c r="E64" i="1" s="1"/>
  <c r="C40" i="1"/>
  <c r="D40" i="1" s="1"/>
  <c r="E40" i="1" s="1"/>
  <c r="C19" i="1"/>
  <c r="D19" i="1" s="1"/>
  <c r="E19" i="1" s="1"/>
  <c r="C250" i="1"/>
  <c r="D250" i="1" s="1"/>
  <c r="E250" i="1" s="1"/>
  <c r="C226" i="1"/>
  <c r="D226" i="1" s="1"/>
  <c r="E226" i="1" s="1"/>
  <c r="C202" i="1"/>
  <c r="D202" i="1" s="1"/>
  <c r="E202" i="1" s="1"/>
  <c r="C178" i="1"/>
  <c r="D178" i="1" s="1"/>
  <c r="E178" i="1" s="1"/>
  <c r="C154" i="1"/>
  <c r="D154" i="1" s="1"/>
  <c r="E154" i="1" s="1"/>
  <c r="C130" i="1"/>
  <c r="D130" i="1" s="1"/>
  <c r="E130" i="1" s="1"/>
  <c r="C106" i="1"/>
  <c r="D106" i="1" s="1"/>
  <c r="E106" i="1" s="1"/>
  <c r="C82" i="1"/>
  <c r="D82" i="1" s="1"/>
  <c r="E82" i="1" s="1"/>
  <c r="C58" i="1"/>
  <c r="D58" i="1" s="1"/>
  <c r="E58" i="1" s="1"/>
  <c r="C34" i="1"/>
  <c r="D34" i="1" s="1"/>
  <c r="E34" i="1" s="1"/>
  <c r="C17" i="1"/>
  <c r="D17" i="1" s="1"/>
  <c r="E17" i="1" s="1"/>
  <c r="C248" i="1"/>
  <c r="D248" i="1" s="1"/>
  <c r="E248" i="1" s="1"/>
  <c r="C224" i="1"/>
  <c r="D224" i="1" s="1"/>
  <c r="E224" i="1" s="1"/>
  <c r="C200" i="1"/>
  <c r="D200" i="1" s="1"/>
  <c r="E200" i="1" s="1"/>
  <c r="C176" i="1"/>
  <c r="D176" i="1" s="1"/>
  <c r="E176" i="1" s="1"/>
  <c r="C152" i="1"/>
  <c r="D152" i="1" s="1"/>
  <c r="E152" i="1" s="1"/>
  <c r="C128" i="1"/>
  <c r="D128" i="1" s="1"/>
  <c r="E128" i="1" s="1"/>
  <c r="C104" i="1"/>
  <c r="D104" i="1" s="1"/>
  <c r="E104" i="1" s="1"/>
  <c r="C80" i="1"/>
  <c r="D80" i="1" s="1"/>
  <c r="E80" i="1" s="1"/>
  <c r="C56" i="1"/>
  <c r="D56" i="1" s="1"/>
  <c r="E56" i="1" s="1"/>
  <c r="C32" i="1"/>
  <c r="D32" i="1" s="1"/>
  <c r="E32" i="1" s="1"/>
  <c r="C24" i="1"/>
  <c r="D24" i="1" s="1"/>
  <c r="E24" i="1" s="1"/>
  <c r="C12" i="1"/>
  <c r="D12" i="1" s="1"/>
  <c r="E12" i="1" s="1"/>
  <c r="C255" i="1"/>
  <c r="D255" i="1" s="1"/>
  <c r="E255" i="1" s="1"/>
  <c r="C243" i="1"/>
  <c r="D243" i="1" s="1"/>
  <c r="E243" i="1" s="1"/>
  <c r="C231" i="1"/>
  <c r="D231" i="1" s="1"/>
  <c r="E231" i="1" s="1"/>
  <c r="C219" i="1"/>
  <c r="D219" i="1" s="1"/>
  <c r="E219" i="1" s="1"/>
  <c r="C207" i="1"/>
  <c r="D207" i="1" s="1"/>
  <c r="E207" i="1" s="1"/>
  <c r="C195" i="1"/>
  <c r="D195" i="1" s="1"/>
  <c r="E195" i="1" s="1"/>
  <c r="C183" i="1"/>
  <c r="D183" i="1" s="1"/>
  <c r="E183" i="1" s="1"/>
  <c r="C171" i="1"/>
  <c r="D171" i="1" s="1"/>
  <c r="E171" i="1" s="1"/>
  <c r="C159" i="1"/>
  <c r="D159" i="1" s="1"/>
  <c r="E159" i="1" s="1"/>
  <c r="C147" i="1"/>
  <c r="D147" i="1" s="1"/>
  <c r="E147" i="1" s="1"/>
  <c r="C135" i="1"/>
  <c r="D135" i="1" s="1"/>
  <c r="E135" i="1" s="1"/>
  <c r="C123" i="1"/>
  <c r="D123" i="1" s="1"/>
  <c r="E123" i="1" s="1"/>
  <c r="C111" i="1"/>
  <c r="D111" i="1" s="1"/>
  <c r="E111" i="1" s="1"/>
  <c r="C99" i="1"/>
  <c r="D99" i="1" s="1"/>
  <c r="E99" i="1" s="1"/>
  <c r="C87" i="1"/>
  <c r="D87" i="1" s="1"/>
  <c r="E87" i="1" s="1"/>
  <c r="C75" i="1"/>
  <c r="D75" i="1" s="1"/>
  <c r="E75" i="1" s="1"/>
  <c r="C63" i="1"/>
  <c r="D63" i="1" s="1"/>
  <c r="E63" i="1" s="1"/>
  <c r="C51" i="1"/>
  <c r="D51" i="1" s="1"/>
  <c r="E51" i="1" s="1"/>
  <c r="C39" i="1"/>
  <c r="D39" i="1" s="1"/>
  <c r="E39" i="1" s="1"/>
  <c r="C23" i="1"/>
  <c r="D23" i="1" s="1"/>
  <c r="E23" i="1" s="1"/>
  <c r="C11" i="1"/>
  <c r="D11" i="1" s="1"/>
  <c r="E11" i="1" s="1"/>
  <c r="C254" i="1"/>
  <c r="D254" i="1" s="1"/>
  <c r="E254" i="1" s="1"/>
  <c r="C242" i="1"/>
  <c r="D242" i="1" s="1"/>
  <c r="E242" i="1" s="1"/>
  <c r="C230" i="1"/>
  <c r="D230" i="1" s="1"/>
  <c r="E230" i="1" s="1"/>
  <c r="C218" i="1"/>
  <c r="D218" i="1" s="1"/>
  <c r="E218" i="1" s="1"/>
  <c r="C206" i="1"/>
  <c r="D206" i="1" s="1"/>
  <c r="E206" i="1" s="1"/>
  <c r="C194" i="1"/>
  <c r="D194" i="1" s="1"/>
  <c r="E194" i="1" s="1"/>
  <c r="C182" i="1"/>
  <c r="D182" i="1" s="1"/>
  <c r="E182" i="1" s="1"/>
  <c r="C170" i="1"/>
  <c r="D170" i="1" s="1"/>
  <c r="E170" i="1" s="1"/>
  <c r="C158" i="1"/>
  <c r="D158" i="1" s="1"/>
  <c r="E158" i="1" s="1"/>
  <c r="C146" i="1"/>
  <c r="D146" i="1" s="1"/>
  <c r="E146" i="1" s="1"/>
  <c r="C134" i="1"/>
  <c r="D134" i="1" s="1"/>
  <c r="E134" i="1" s="1"/>
  <c r="C122" i="1"/>
  <c r="D122" i="1" s="1"/>
  <c r="E122" i="1" s="1"/>
  <c r="C110" i="1"/>
  <c r="D110" i="1" s="1"/>
  <c r="E110" i="1" s="1"/>
  <c r="C98" i="1"/>
  <c r="D98" i="1" s="1"/>
  <c r="E98" i="1" s="1"/>
  <c r="C86" i="1"/>
  <c r="D86" i="1" s="1"/>
  <c r="E86" i="1" s="1"/>
  <c r="C74" i="1"/>
  <c r="D74" i="1" s="1"/>
  <c r="E74" i="1" s="1"/>
  <c r="C62" i="1"/>
  <c r="D62" i="1" s="1"/>
  <c r="E62" i="1" s="1"/>
  <c r="C50" i="1"/>
  <c r="D50" i="1" s="1"/>
  <c r="E50" i="1" s="1"/>
  <c r="C38" i="1"/>
  <c r="D38" i="1" s="1"/>
  <c r="E38" i="1" s="1"/>
  <c r="C22" i="1"/>
  <c r="D22" i="1" s="1"/>
  <c r="E22" i="1" s="1"/>
  <c r="C10" i="1"/>
  <c r="D10" i="1" s="1"/>
  <c r="E10" i="1" s="1"/>
  <c r="C253" i="1"/>
  <c r="D253" i="1" s="1"/>
  <c r="E253" i="1" s="1"/>
  <c r="C241" i="1"/>
  <c r="D241" i="1" s="1"/>
  <c r="E241" i="1" s="1"/>
  <c r="C229" i="1"/>
  <c r="D229" i="1" s="1"/>
  <c r="E229" i="1" s="1"/>
  <c r="C217" i="1"/>
  <c r="D217" i="1" s="1"/>
  <c r="E217" i="1" s="1"/>
  <c r="C205" i="1"/>
  <c r="D205" i="1" s="1"/>
  <c r="E205" i="1" s="1"/>
  <c r="C193" i="1"/>
  <c r="D193" i="1" s="1"/>
  <c r="E193" i="1" s="1"/>
  <c r="C181" i="1"/>
  <c r="D181" i="1" s="1"/>
  <c r="E181" i="1" s="1"/>
  <c r="C169" i="1"/>
  <c r="D169" i="1" s="1"/>
  <c r="E169" i="1" s="1"/>
  <c r="C157" i="1"/>
  <c r="D157" i="1" s="1"/>
  <c r="E157" i="1" s="1"/>
  <c r="C145" i="1"/>
  <c r="D145" i="1" s="1"/>
  <c r="E145" i="1" s="1"/>
  <c r="C133" i="1"/>
  <c r="D133" i="1" s="1"/>
  <c r="E133" i="1" s="1"/>
  <c r="C121" i="1"/>
  <c r="D121" i="1" s="1"/>
  <c r="E121" i="1" s="1"/>
  <c r="C109" i="1"/>
  <c r="D109" i="1" s="1"/>
  <c r="E109" i="1" s="1"/>
  <c r="C97" i="1"/>
  <c r="D97" i="1" s="1"/>
  <c r="E97" i="1" s="1"/>
  <c r="C85" i="1"/>
  <c r="D85" i="1" s="1"/>
  <c r="E85" i="1" s="1"/>
  <c r="C73" i="1"/>
  <c r="D73" i="1" s="1"/>
  <c r="E73" i="1" s="1"/>
  <c r="C61" i="1"/>
  <c r="D61" i="1" s="1"/>
  <c r="E61" i="1" s="1"/>
  <c r="C49" i="1"/>
  <c r="D49" i="1" s="1"/>
  <c r="E49" i="1" s="1"/>
  <c r="C37" i="1"/>
  <c r="D37" i="1" s="1"/>
  <c r="E37" i="1" s="1"/>
  <c r="C3" i="1"/>
  <c r="D3" i="1" s="1"/>
  <c r="E3" i="1" s="1"/>
  <c r="C21" i="1"/>
  <c r="D21" i="1" s="1"/>
  <c r="E21" i="1" s="1"/>
  <c r="C9" i="1"/>
  <c r="D9" i="1" s="1"/>
  <c r="E9" i="1" s="1"/>
  <c r="C252" i="1"/>
  <c r="D252" i="1" s="1"/>
  <c r="E252" i="1" s="1"/>
  <c r="C240" i="1"/>
  <c r="D240" i="1" s="1"/>
  <c r="E240" i="1" s="1"/>
  <c r="C228" i="1"/>
  <c r="D228" i="1" s="1"/>
  <c r="E228" i="1" s="1"/>
  <c r="C216" i="1"/>
  <c r="D216" i="1" s="1"/>
  <c r="E216" i="1" s="1"/>
  <c r="C204" i="1"/>
  <c r="D204" i="1" s="1"/>
  <c r="E204" i="1" s="1"/>
  <c r="C192" i="1"/>
  <c r="D192" i="1" s="1"/>
  <c r="E192" i="1" s="1"/>
  <c r="C180" i="1"/>
  <c r="D180" i="1" s="1"/>
  <c r="E180" i="1" s="1"/>
  <c r="C168" i="1"/>
  <c r="D168" i="1" s="1"/>
  <c r="E168" i="1" s="1"/>
  <c r="C156" i="1"/>
  <c r="D156" i="1" s="1"/>
  <c r="E156" i="1" s="1"/>
  <c r="C144" i="1"/>
  <c r="D144" i="1" s="1"/>
  <c r="E144" i="1" s="1"/>
  <c r="C132" i="1"/>
  <c r="D132" i="1" s="1"/>
  <c r="E132" i="1" s="1"/>
  <c r="C120" i="1"/>
  <c r="D120" i="1" s="1"/>
  <c r="E120" i="1" s="1"/>
  <c r="C108" i="1"/>
  <c r="D108" i="1" s="1"/>
  <c r="E108" i="1" s="1"/>
  <c r="C96" i="1"/>
  <c r="D96" i="1" s="1"/>
  <c r="E96" i="1" s="1"/>
  <c r="C84" i="1"/>
  <c r="D84" i="1" s="1"/>
  <c r="E84" i="1" s="1"/>
  <c r="C72" i="1"/>
  <c r="D72" i="1" s="1"/>
  <c r="E72" i="1" s="1"/>
  <c r="C60" i="1"/>
  <c r="D60" i="1" s="1"/>
  <c r="E60" i="1" s="1"/>
  <c r="C48" i="1"/>
  <c r="D48" i="1" s="1"/>
  <c r="E48" i="1" s="1"/>
  <c r="C36" i="1"/>
  <c r="D36" i="1" s="1"/>
  <c r="E36" i="1" s="1"/>
  <c r="C4" i="1"/>
  <c r="C20" i="1"/>
  <c r="D20" i="1" s="1"/>
  <c r="E20" i="1" s="1"/>
  <c r="C8" i="1"/>
  <c r="D8" i="1" s="1"/>
  <c r="E8" i="1" s="1"/>
  <c r="C251" i="1"/>
  <c r="D251" i="1" s="1"/>
  <c r="E251" i="1" s="1"/>
  <c r="C239" i="1"/>
  <c r="D239" i="1" s="1"/>
  <c r="E239" i="1" s="1"/>
  <c r="C227" i="1"/>
  <c r="D227" i="1" s="1"/>
  <c r="E227" i="1" s="1"/>
  <c r="C215" i="1"/>
  <c r="D215" i="1" s="1"/>
  <c r="E215" i="1" s="1"/>
  <c r="C203" i="1"/>
  <c r="D203" i="1" s="1"/>
  <c r="E203" i="1" s="1"/>
  <c r="C191" i="1"/>
  <c r="D191" i="1" s="1"/>
  <c r="E191" i="1" s="1"/>
  <c r="C179" i="1"/>
  <c r="D179" i="1" s="1"/>
  <c r="E179" i="1" s="1"/>
  <c r="C167" i="1"/>
  <c r="D167" i="1" s="1"/>
  <c r="E167" i="1" s="1"/>
  <c r="C155" i="1"/>
  <c r="D155" i="1" s="1"/>
  <c r="E155" i="1" s="1"/>
  <c r="C143" i="1"/>
  <c r="D143" i="1" s="1"/>
  <c r="E143" i="1" s="1"/>
  <c r="C131" i="1"/>
  <c r="D131" i="1" s="1"/>
  <c r="E131" i="1" s="1"/>
  <c r="C119" i="1"/>
  <c r="D119" i="1" s="1"/>
  <c r="E119" i="1" s="1"/>
  <c r="C107" i="1"/>
  <c r="D107" i="1" s="1"/>
  <c r="E107" i="1" s="1"/>
  <c r="C95" i="1"/>
  <c r="D95" i="1" s="1"/>
  <c r="E95" i="1" s="1"/>
  <c r="C83" i="1"/>
  <c r="D83" i="1" s="1"/>
  <c r="E83" i="1" s="1"/>
  <c r="C71" i="1"/>
  <c r="D71" i="1" s="1"/>
  <c r="E71" i="1" s="1"/>
  <c r="C59" i="1"/>
  <c r="D59" i="1" s="1"/>
  <c r="E59" i="1" s="1"/>
  <c r="C47" i="1"/>
  <c r="D47" i="1" s="1"/>
  <c r="E47" i="1" s="1"/>
  <c r="C35" i="1"/>
  <c r="D35" i="1" s="1"/>
  <c r="E35" i="1" s="1"/>
  <c r="C30" i="1"/>
  <c r="D30" i="1" s="1"/>
  <c r="E30" i="1" s="1"/>
  <c r="C18" i="1"/>
  <c r="D18" i="1" s="1"/>
  <c r="E18" i="1" s="1"/>
  <c r="C6" i="1"/>
  <c r="D6" i="1" s="1"/>
  <c r="E6" i="1" s="1"/>
  <c r="C249" i="1"/>
  <c r="D249" i="1" s="1"/>
  <c r="E249" i="1" s="1"/>
  <c r="C237" i="1"/>
  <c r="D237" i="1" s="1"/>
  <c r="E237" i="1" s="1"/>
  <c r="C225" i="1"/>
  <c r="D225" i="1" s="1"/>
  <c r="E225" i="1" s="1"/>
  <c r="C213" i="1"/>
  <c r="D213" i="1" s="1"/>
  <c r="E213" i="1" s="1"/>
  <c r="C201" i="1"/>
  <c r="D201" i="1" s="1"/>
  <c r="E201" i="1" s="1"/>
  <c r="C189" i="1"/>
  <c r="D189" i="1" s="1"/>
  <c r="E189" i="1" s="1"/>
  <c r="C177" i="1"/>
  <c r="D177" i="1" s="1"/>
  <c r="E177" i="1" s="1"/>
  <c r="C165" i="1"/>
  <c r="D165" i="1" s="1"/>
  <c r="E165" i="1" s="1"/>
  <c r="C153" i="1"/>
  <c r="D153" i="1" s="1"/>
  <c r="E153" i="1" s="1"/>
  <c r="C141" i="1"/>
  <c r="D141" i="1" s="1"/>
  <c r="E141" i="1" s="1"/>
  <c r="C129" i="1"/>
  <c r="D129" i="1" s="1"/>
  <c r="E129" i="1" s="1"/>
  <c r="C117" i="1"/>
  <c r="D117" i="1" s="1"/>
  <c r="E117" i="1" s="1"/>
  <c r="C105" i="1"/>
  <c r="D105" i="1" s="1"/>
  <c r="E105" i="1" s="1"/>
  <c r="C93" i="1"/>
  <c r="D93" i="1" s="1"/>
  <c r="E93" i="1" s="1"/>
  <c r="C81" i="1"/>
  <c r="D81" i="1" s="1"/>
  <c r="E81" i="1" s="1"/>
  <c r="C69" i="1"/>
  <c r="D69" i="1" s="1"/>
  <c r="E69" i="1" s="1"/>
  <c r="C57" i="1"/>
  <c r="D57" i="1" s="1"/>
  <c r="E57" i="1" s="1"/>
  <c r="C45" i="1"/>
  <c r="D45" i="1" s="1"/>
  <c r="E45" i="1" s="1"/>
  <c r="D4" i="1" l="1"/>
  <c r="E4" i="1" s="1"/>
  <c r="D259" i="1"/>
  <c r="E259" i="1" s="1"/>
</calcChain>
</file>

<file path=xl/sharedStrings.xml><?xml version="1.0" encoding="utf-8"?>
<sst xmlns="http://schemas.openxmlformats.org/spreadsheetml/2006/main" count="15" uniqueCount="15">
  <si>
    <t>norm</t>
  </si>
  <si>
    <t>Slope</t>
  </si>
  <si>
    <t>MinDyn</t>
  </si>
  <si>
    <t>Timer</t>
  </si>
  <si>
    <t>MIDI Dyn</t>
  </si>
  <si>
    <t>Mindyn+1/t</t>
  </si>
  <si>
    <t>1/t Slope</t>
  </si>
  <si>
    <t>hier eintragen:</t>
  </si>
  <si>
    <t>1/Slope =</t>
  </si>
  <si>
    <t>Werte von 1 bis 100</t>
  </si>
  <si>
    <t>MinDyn/127=</t>
  </si>
  <si>
    <t>Tabelle für Tasten-Anschlagdynamik</t>
  </si>
  <si>
    <t>Alter Scan Driver</t>
  </si>
  <si>
    <t>DynFac</t>
  </si>
  <si>
    <t>Alte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</si>
</sst>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0"/>
      <name val="Arial"/>
    </font>
    <font>
      <sz val="10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7030A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 tint="0.49998474074526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5" fillId="0" borderId="0" xfId="0" applyFont="1" applyAlignment="1">
      <alignment horizontal="left"/>
    </xf>
    <xf numFmtId="0" fontId="3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2" borderId="0" xfId="0" quotePrefix="1" applyFont="1" applyFill="1" applyAlignment="1">
      <alignment horizontal="left"/>
    </xf>
    <xf numFmtId="0" fontId="6" fillId="0" borderId="0" xfId="0" quotePrefix="1" applyFont="1" applyFill="1" applyAlignment="1">
      <alignment horizontal="left"/>
    </xf>
    <xf numFmtId="0" fontId="7" fillId="0" borderId="0" xfId="0" quotePrefix="1" applyFont="1" applyAlignment="1">
      <alignment horizontal="left"/>
    </xf>
    <xf numFmtId="0" fontId="7" fillId="0" borderId="0" xfId="0" applyFont="1" applyAlignment="1">
      <alignment horizontal="left"/>
    </xf>
    <xf numFmtId="0" fontId="0" fillId="2" borderId="0" xfId="0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DE"/>
              <a:t>Dynamik-Kurven</a:t>
            </a:r>
            <a:r>
              <a:rPr lang="de-DE" baseline="0"/>
              <a:t> mit x^2, x/3 und x^4 zum Vergleich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6.0830860534124627E-2"/>
          <c:y val="7.6090375708686125E-2"/>
          <c:w val="0.73337913213768424"/>
          <c:h val="0.83567616194868299"/>
        </c:manualLayout>
      </c:layout>
      <c:lineChart>
        <c:grouping val="standard"/>
        <c:varyColors val="0"/>
        <c:ser>
          <c:idx val="4"/>
          <c:order val="0"/>
          <c:tx>
            <c:v>Linear</c:v>
          </c:tx>
          <c:spPr>
            <a:ln w="19050"/>
          </c:spPr>
          <c:marker>
            <c:symbol val="none"/>
          </c:marker>
          <c:val>
            <c:numRef>
              <c:f>Tabelle1!$B$4:$B$259</c:f>
              <c:numCache>
                <c:formatCode>General</c:formatCode>
                <c:ptCount val="256"/>
                <c:pt idx="0">
                  <c:v>1</c:v>
                </c:pt>
                <c:pt idx="1">
                  <c:v>0.99607843137254903</c:v>
                </c:pt>
                <c:pt idx="2">
                  <c:v>0.99215686274509807</c:v>
                </c:pt>
                <c:pt idx="3">
                  <c:v>0.9882352941176471</c:v>
                </c:pt>
                <c:pt idx="4">
                  <c:v>0.98431372549019602</c:v>
                </c:pt>
                <c:pt idx="5">
                  <c:v>0.98039215686274506</c:v>
                </c:pt>
                <c:pt idx="6">
                  <c:v>0.97647058823529409</c:v>
                </c:pt>
                <c:pt idx="7">
                  <c:v>0.97254901960784312</c:v>
                </c:pt>
                <c:pt idx="8">
                  <c:v>0.96862745098039216</c:v>
                </c:pt>
                <c:pt idx="9">
                  <c:v>0.96470588235294119</c:v>
                </c:pt>
                <c:pt idx="10">
                  <c:v>0.96078431372549022</c:v>
                </c:pt>
                <c:pt idx="11">
                  <c:v>0.95686274509803926</c:v>
                </c:pt>
                <c:pt idx="12">
                  <c:v>0.95294117647058818</c:v>
                </c:pt>
                <c:pt idx="13">
                  <c:v>0.94901960784313721</c:v>
                </c:pt>
                <c:pt idx="14">
                  <c:v>0.94509803921568625</c:v>
                </c:pt>
                <c:pt idx="15">
                  <c:v>0.94117647058823528</c:v>
                </c:pt>
                <c:pt idx="16">
                  <c:v>0.93725490196078431</c:v>
                </c:pt>
                <c:pt idx="17">
                  <c:v>0.93333333333333335</c:v>
                </c:pt>
                <c:pt idx="18">
                  <c:v>0.92941176470588238</c:v>
                </c:pt>
                <c:pt idx="19">
                  <c:v>0.92549019607843142</c:v>
                </c:pt>
                <c:pt idx="20">
                  <c:v>0.92156862745098034</c:v>
                </c:pt>
                <c:pt idx="21">
                  <c:v>0.91764705882352937</c:v>
                </c:pt>
                <c:pt idx="22">
                  <c:v>0.9137254901960784</c:v>
                </c:pt>
                <c:pt idx="23">
                  <c:v>0.90980392156862744</c:v>
                </c:pt>
                <c:pt idx="24">
                  <c:v>0.90588235294117647</c:v>
                </c:pt>
                <c:pt idx="25">
                  <c:v>0.90196078431372551</c:v>
                </c:pt>
                <c:pt idx="26">
                  <c:v>0.89803921568627454</c:v>
                </c:pt>
                <c:pt idx="27">
                  <c:v>0.89411764705882357</c:v>
                </c:pt>
                <c:pt idx="28">
                  <c:v>0.8901960784313725</c:v>
                </c:pt>
                <c:pt idx="29">
                  <c:v>0.88627450980392153</c:v>
                </c:pt>
                <c:pt idx="30">
                  <c:v>0.88235294117647056</c:v>
                </c:pt>
                <c:pt idx="31">
                  <c:v>0.8784313725490196</c:v>
                </c:pt>
                <c:pt idx="32">
                  <c:v>0.87450980392156863</c:v>
                </c:pt>
                <c:pt idx="33">
                  <c:v>0.87058823529411766</c:v>
                </c:pt>
                <c:pt idx="34">
                  <c:v>0.8666666666666667</c:v>
                </c:pt>
                <c:pt idx="35">
                  <c:v>0.86274509803921573</c:v>
                </c:pt>
                <c:pt idx="36">
                  <c:v>0.85882352941176465</c:v>
                </c:pt>
                <c:pt idx="37">
                  <c:v>0.85490196078431369</c:v>
                </c:pt>
                <c:pt idx="38">
                  <c:v>0.85098039215686272</c:v>
                </c:pt>
                <c:pt idx="39">
                  <c:v>0.84705882352941175</c:v>
                </c:pt>
                <c:pt idx="40">
                  <c:v>0.84313725490196079</c:v>
                </c:pt>
                <c:pt idx="41">
                  <c:v>0.83921568627450982</c:v>
                </c:pt>
                <c:pt idx="42">
                  <c:v>0.83529411764705885</c:v>
                </c:pt>
                <c:pt idx="43">
                  <c:v>0.83137254901960789</c:v>
                </c:pt>
                <c:pt idx="44">
                  <c:v>0.82745098039215681</c:v>
                </c:pt>
                <c:pt idx="45">
                  <c:v>0.82352941176470584</c:v>
                </c:pt>
                <c:pt idx="46">
                  <c:v>0.81960784313725488</c:v>
                </c:pt>
                <c:pt idx="47">
                  <c:v>0.81568627450980391</c:v>
                </c:pt>
                <c:pt idx="48">
                  <c:v>0.81176470588235294</c:v>
                </c:pt>
                <c:pt idx="49">
                  <c:v>0.80784313725490198</c:v>
                </c:pt>
                <c:pt idx="50">
                  <c:v>0.80392156862745101</c:v>
                </c:pt>
                <c:pt idx="51">
                  <c:v>0.8</c:v>
                </c:pt>
                <c:pt idx="52">
                  <c:v>0.79607843137254897</c:v>
                </c:pt>
                <c:pt idx="53">
                  <c:v>0.792156862745098</c:v>
                </c:pt>
                <c:pt idx="54">
                  <c:v>0.78823529411764703</c:v>
                </c:pt>
                <c:pt idx="55">
                  <c:v>0.78431372549019607</c:v>
                </c:pt>
                <c:pt idx="56">
                  <c:v>0.7803921568627451</c:v>
                </c:pt>
                <c:pt idx="57">
                  <c:v>0.77647058823529413</c:v>
                </c:pt>
                <c:pt idx="58">
                  <c:v>0.77254901960784317</c:v>
                </c:pt>
                <c:pt idx="59">
                  <c:v>0.7686274509803922</c:v>
                </c:pt>
                <c:pt idx="60">
                  <c:v>0.76470588235294112</c:v>
                </c:pt>
                <c:pt idx="61">
                  <c:v>0.76078431372549016</c:v>
                </c:pt>
                <c:pt idx="62">
                  <c:v>0.75686274509803919</c:v>
                </c:pt>
                <c:pt idx="63">
                  <c:v>0.75294117647058822</c:v>
                </c:pt>
                <c:pt idx="64">
                  <c:v>0.74901960784313726</c:v>
                </c:pt>
                <c:pt idx="65">
                  <c:v>0.74509803921568629</c:v>
                </c:pt>
                <c:pt idx="66">
                  <c:v>0.74117647058823533</c:v>
                </c:pt>
                <c:pt idx="67">
                  <c:v>0.73725490196078436</c:v>
                </c:pt>
                <c:pt idx="68">
                  <c:v>0.73333333333333328</c:v>
                </c:pt>
                <c:pt idx="69">
                  <c:v>0.72941176470588232</c:v>
                </c:pt>
                <c:pt idx="70">
                  <c:v>0.72549019607843135</c:v>
                </c:pt>
                <c:pt idx="71">
                  <c:v>0.72156862745098038</c:v>
                </c:pt>
                <c:pt idx="72">
                  <c:v>0.71764705882352942</c:v>
                </c:pt>
                <c:pt idx="73">
                  <c:v>0.71372549019607845</c:v>
                </c:pt>
                <c:pt idx="74">
                  <c:v>0.70980392156862748</c:v>
                </c:pt>
                <c:pt idx="75">
                  <c:v>0.70588235294117652</c:v>
                </c:pt>
                <c:pt idx="76">
                  <c:v>0.70196078431372544</c:v>
                </c:pt>
                <c:pt idx="77">
                  <c:v>0.69803921568627447</c:v>
                </c:pt>
                <c:pt idx="78">
                  <c:v>0.69411764705882351</c:v>
                </c:pt>
                <c:pt idx="79">
                  <c:v>0.69019607843137254</c:v>
                </c:pt>
                <c:pt idx="80">
                  <c:v>0.68627450980392157</c:v>
                </c:pt>
                <c:pt idx="81">
                  <c:v>0.68235294117647061</c:v>
                </c:pt>
                <c:pt idx="82">
                  <c:v>0.67843137254901964</c:v>
                </c:pt>
                <c:pt idx="83">
                  <c:v>0.67450980392156867</c:v>
                </c:pt>
                <c:pt idx="84">
                  <c:v>0.6705882352941176</c:v>
                </c:pt>
                <c:pt idx="85">
                  <c:v>0.66666666666666663</c:v>
                </c:pt>
                <c:pt idx="86">
                  <c:v>0.66274509803921566</c:v>
                </c:pt>
                <c:pt idx="87">
                  <c:v>0.6588235294117647</c:v>
                </c:pt>
                <c:pt idx="88">
                  <c:v>0.65490196078431373</c:v>
                </c:pt>
                <c:pt idx="89">
                  <c:v>0.65098039215686276</c:v>
                </c:pt>
                <c:pt idx="90">
                  <c:v>0.6470588235294118</c:v>
                </c:pt>
                <c:pt idx="91">
                  <c:v>0.64313725490196083</c:v>
                </c:pt>
                <c:pt idx="92">
                  <c:v>0.63921568627450975</c:v>
                </c:pt>
                <c:pt idx="93">
                  <c:v>0.63529411764705879</c:v>
                </c:pt>
                <c:pt idx="94">
                  <c:v>0.63137254901960782</c:v>
                </c:pt>
                <c:pt idx="95">
                  <c:v>0.62745098039215685</c:v>
                </c:pt>
                <c:pt idx="96">
                  <c:v>0.62352941176470589</c:v>
                </c:pt>
                <c:pt idx="97">
                  <c:v>0.61960784313725492</c:v>
                </c:pt>
                <c:pt idx="98">
                  <c:v>0.61568627450980395</c:v>
                </c:pt>
                <c:pt idx="99">
                  <c:v>0.61176470588235299</c:v>
                </c:pt>
                <c:pt idx="100">
                  <c:v>0.60784313725490191</c:v>
                </c:pt>
                <c:pt idx="101">
                  <c:v>0.60392156862745094</c:v>
                </c:pt>
                <c:pt idx="102">
                  <c:v>0.6</c:v>
                </c:pt>
                <c:pt idx="103">
                  <c:v>0.59607843137254901</c:v>
                </c:pt>
                <c:pt idx="104">
                  <c:v>0.59215686274509804</c:v>
                </c:pt>
                <c:pt idx="105">
                  <c:v>0.58823529411764708</c:v>
                </c:pt>
                <c:pt idx="106">
                  <c:v>0.58431372549019611</c:v>
                </c:pt>
                <c:pt idx="107">
                  <c:v>0.58039215686274515</c:v>
                </c:pt>
                <c:pt idx="108">
                  <c:v>0.57647058823529407</c:v>
                </c:pt>
                <c:pt idx="109">
                  <c:v>0.5725490196078431</c:v>
                </c:pt>
                <c:pt idx="110">
                  <c:v>0.56862745098039214</c:v>
                </c:pt>
                <c:pt idx="111">
                  <c:v>0.56470588235294117</c:v>
                </c:pt>
                <c:pt idx="112">
                  <c:v>0.5607843137254902</c:v>
                </c:pt>
                <c:pt idx="113">
                  <c:v>0.55686274509803924</c:v>
                </c:pt>
                <c:pt idx="114">
                  <c:v>0.55294117647058827</c:v>
                </c:pt>
                <c:pt idx="115">
                  <c:v>0.5490196078431373</c:v>
                </c:pt>
                <c:pt idx="116">
                  <c:v>0.54509803921568623</c:v>
                </c:pt>
                <c:pt idx="117">
                  <c:v>0.54117647058823526</c:v>
                </c:pt>
                <c:pt idx="118">
                  <c:v>0.53725490196078429</c:v>
                </c:pt>
                <c:pt idx="119">
                  <c:v>0.53333333333333333</c:v>
                </c:pt>
                <c:pt idx="120">
                  <c:v>0.52941176470588236</c:v>
                </c:pt>
                <c:pt idx="121">
                  <c:v>0.52549019607843139</c:v>
                </c:pt>
                <c:pt idx="122">
                  <c:v>0.52156862745098043</c:v>
                </c:pt>
                <c:pt idx="123">
                  <c:v>0.51764705882352946</c:v>
                </c:pt>
                <c:pt idx="124">
                  <c:v>0.51372549019607838</c:v>
                </c:pt>
                <c:pt idx="125">
                  <c:v>0.50980392156862742</c:v>
                </c:pt>
                <c:pt idx="126">
                  <c:v>0.50588235294117645</c:v>
                </c:pt>
                <c:pt idx="127">
                  <c:v>0.50196078431372548</c:v>
                </c:pt>
                <c:pt idx="128">
                  <c:v>0.49803921568627452</c:v>
                </c:pt>
                <c:pt idx="129">
                  <c:v>0.49411764705882355</c:v>
                </c:pt>
                <c:pt idx="130">
                  <c:v>0.49019607843137253</c:v>
                </c:pt>
                <c:pt idx="131">
                  <c:v>0.48627450980392156</c:v>
                </c:pt>
                <c:pt idx="132">
                  <c:v>0.4823529411764706</c:v>
                </c:pt>
                <c:pt idx="133">
                  <c:v>0.47843137254901963</c:v>
                </c:pt>
                <c:pt idx="134">
                  <c:v>0.47450980392156861</c:v>
                </c:pt>
                <c:pt idx="135">
                  <c:v>0.47058823529411764</c:v>
                </c:pt>
                <c:pt idx="136">
                  <c:v>0.46666666666666667</c:v>
                </c:pt>
                <c:pt idx="137">
                  <c:v>0.46274509803921571</c:v>
                </c:pt>
                <c:pt idx="138">
                  <c:v>0.45882352941176469</c:v>
                </c:pt>
                <c:pt idx="139">
                  <c:v>0.45490196078431372</c:v>
                </c:pt>
                <c:pt idx="140">
                  <c:v>0.45098039215686275</c:v>
                </c:pt>
                <c:pt idx="141">
                  <c:v>0.44705882352941179</c:v>
                </c:pt>
                <c:pt idx="142">
                  <c:v>0.44313725490196076</c:v>
                </c:pt>
                <c:pt idx="143">
                  <c:v>0.4392156862745098</c:v>
                </c:pt>
                <c:pt idx="144">
                  <c:v>0.43529411764705883</c:v>
                </c:pt>
                <c:pt idx="145">
                  <c:v>0.43137254901960786</c:v>
                </c:pt>
                <c:pt idx="146">
                  <c:v>0.42745098039215684</c:v>
                </c:pt>
                <c:pt idx="147">
                  <c:v>0.42352941176470588</c:v>
                </c:pt>
                <c:pt idx="148">
                  <c:v>0.41960784313725491</c:v>
                </c:pt>
                <c:pt idx="149">
                  <c:v>0.41568627450980394</c:v>
                </c:pt>
                <c:pt idx="150">
                  <c:v>0.41176470588235292</c:v>
                </c:pt>
                <c:pt idx="151">
                  <c:v>0.40784313725490196</c:v>
                </c:pt>
                <c:pt idx="152">
                  <c:v>0.40392156862745099</c:v>
                </c:pt>
                <c:pt idx="153">
                  <c:v>0.4</c:v>
                </c:pt>
                <c:pt idx="154">
                  <c:v>0.396078431372549</c:v>
                </c:pt>
                <c:pt idx="155">
                  <c:v>0.39215686274509803</c:v>
                </c:pt>
                <c:pt idx="156">
                  <c:v>0.38823529411764707</c:v>
                </c:pt>
                <c:pt idx="157">
                  <c:v>0.3843137254901961</c:v>
                </c:pt>
                <c:pt idx="158">
                  <c:v>0.38039215686274508</c:v>
                </c:pt>
                <c:pt idx="159">
                  <c:v>0.37647058823529411</c:v>
                </c:pt>
                <c:pt idx="160">
                  <c:v>0.37254901960784315</c:v>
                </c:pt>
                <c:pt idx="161">
                  <c:v>0.36862745098039218</c:v>
                </c:pt>
                <c:pt idx="162">
                  <c:v>0.36470588235294116</c:v>
                </c:pt>
                <c:pt idx="163">
                  <c:v>0.36078431372549019</c:v>
                </c:pt>
                <c:pt idx="164">
                  <c:v>0.35686274509803922</c:v>
                </c:pt>
                <c:pt idx="165">
                  <c:v>0.35294117647058826</c:v>
                </c:pt>
                <c:pt idx="166">
                  <c:v>0.34901960784313724</c:v>
                </c:pt>
                <c:pt idx="167">
                  <c:v>0.34509803921568627</c:v>
                </c:pt>
                <c:pt idx="168">
                  <c:v>0.3411764705882353</c:v>
                </c:pt>
                <c:pt idx="169">
                  <c:v>0.33725490196078434</c:v>
                </c:pt>
                <c:pt idx="170">
                  <c:v>0.33333333333333331</c:v>
                </c:pt>
                <c:pt idx="171">
                  <c:v>0.32941176470588235</c:v>
                </c:pt>
                <c:pt idx="172">
                  <c:v>0.32549019607843138</c:v>
                </c:pt>
                <c:pt idx="173">
                  <c:v>0.32156862745098042</c:v>
                </c:pt>
                <c:pt idx="174">
                  <c:v>0.31764705882352939</c:v>
                </c:pt>
                <c:pt idx="175">
                  <c:v>0.31372549019607843</c:v>
                </c:pt>
                <c:pt idx="176">
                  <c:v>0.30980392156862746</c:v>
                </c:pt>
                <c:pt idx="177">
                  <c:v>0.30588235294117649</c:v>
                </c:pt>
                <c:pt idx="178">
                  <c:v>0.30196078431372547</c:v>
                </c:pt>
                <c:pt idx="179">
                  <c:v>0.29803921568627451</c:v>
                </c:pt>
                <c:pt idx="180">
                  <c:v>0.29411764705882354</c:v>
                </c:pt>
                <c:pt idx="181">
                  <c:v>0.29019607843137257</c:v>
                </c:pt>
                <c:pt idx="182">
                  <c:v>0.28627450980392155</c:v>
                </c:pt>
                <c:pt idx="183">
                  <c:v>0.28235294117647058</c:v>
                </c:pt>
                <c:pt idx="184">
                  <c:v>0.27843137254901962</c:v>
                </c:pt>
                <c:pt idx="185">
                  <c:v>0.27450980392156865</c:v>
                </c:pt>
                <c:pt idx="186">
                  <c:v>0.27058823529411763</c:v>
                </c:pt>
                <c:pt idx="187">
                  <c:v>0.26666666666666666</c:v>
                </c:pt>
                <c:pt idx="188">
                  <c:v>0.2627450980392157</c:v>
                </c:pt>
                <c:pt idx="189">
                  <c:v>0.25882352941176473</c:v>
                </c:pt>
                <c:pt idx="190">
                  <c:v>0.25490196078431371</c:v>
                </c:pt>
                <c:pt idx="191">
                  <c:v>0.25098039215686274</c:v>
                </c:pt>
                <c:pt idx="192">
                  <c:v>0.24705882352941178</c:v>
                </c:pt>
                <c:pt idx="193">
                  <c:v>0.24313725490196078</c:v>
                </c:pt>
                <c:pt idx="194">
                  <c:v>0.23921568627450981</c:v>
                </c:pt>
                <c:pt idx="195">
                  <c:v>0.23529411764705882</c:v>
                </c:pt>
                <c:pt idx="196">
                  <c:v>0.23137254901960785</c:v>
                </c:pt>
                <c:pt idx="197">
                  <c:v>0.22745098039215686</c:v>
                </c:pt>
                <c:pt idx="198">
                  <c:v>0.22352941176470589</c:v>
                </c:pt>
                <c:pt idx="199">
                  <c:v>0.2196078431372549</c:v>
                </c:pt>
                <c:pt idx="200">
                  <c:v>0.21568627450980393</c:v>
                </c:pt>
                <c:pt idx="201">
                  <c:v>0.21176470588235294</c:v>
                </c:pt>
                <c:pt idx="202">
                  <c:v>0.20784313725490197</c:v>
                </c:pt>
                <c:pt idx="203">
                  <c:v>0.20392156862745098</c:v>
                </c:pt>
                <c:pt idx="204">
                  <c:v>0.2</c:v>
                </c:pt>
                <c:pt idx="205">
                  <c:v>0.19607843137254902</c:v>
                </c:pt>
                <c:pt idx="206">
                  <c:v>0.19215686274509805</c:v>
                </c:pt>
                <c:pt idx="207">
                  <c:v>0.18823529411764706</c:v>
                </c:pt>
                <c:pt idx="208">
                  <c:v>0.18431372549019609</c:v>
                </c:pt>
                <c:pt idx="209">
                  <c:v>0.1803921568627451</c:v>
                </c:pt>
                <c:pt idx="210">
                  <c:v>0.17647058823529413</c:v>
                </c:pt>
                <c:pt idx="211">
                  <c:v>0.17254901960784313</c:v>
                </c:pt>
                <c:pt idx="212">
                  <c:v>0.16862745098039217</c:v>
                </c:pt>
                <c:pt idx="213">
                  <c:v>0.16470588235294117</c:v>
                </c:pt>
                <c:pt idx="214">
                  <c:v>0.16078431372549021</c:v>
                </c:pt>
                <c:pt idx="215">
                  <c:v>0.15686274509803921</c:v>
                </c:pt>
                <c:pt idx="216">
                  <c:v>0.15294117647058825</c:v>
                </c:pt>
                <c:pt idx="217">
                  <c:v>0.14901960784313725</c:v>
                </c:pt>
                <c:pt idx="218">
                  <c:v>0.14509803921568629</c:v>
                </c:pt>
                <c:pt idx="219">
                  <c:v>0.14117647058823529</c:v>
                </c:pt>
                <c:pt idx="220">
                  <c:v>0.13725490196078433</c:v>
                </c:pt>
                <c:pt idx="221">
                  <c:v>0.13333333333333333</c:v>
                </c:pt>
                <c:pt idx="222">
                  <c:v>0.12941176470588237</c:v>
                </c:pt>
                <c:pt idx="223">
                  <c:v>0.12549019607843137</c:v>
                </c:pt>
                <c:pt idx="224">
                  <c:v>0.12156862745098039</c:v>
                </c:pt>
                <c:pt idx="225">
                  <c:v>0.11764705882352941</c:v>
                </c:pt>
                <c:pt idx="226">
                  <c:v>0.11372549019607843</c:v>
                </c:pt>
                <c:pt idx="227">
                  <c:v>0.10980392156862745</c:v>
                </c:pt>
                <c:pt idx="228">
                  <c:v>0.10588235294117647</c:v>
                </c:pt>
                <c:pt idx="229">
                  <c:v>0.10196078431372549</c:v>
                </c:pt>
                <c:pt idx="230">
                  <c:v>9.8039215686274508E-2</c:v>
                </c:pt>
                <c:pt idx="231">
                  <c:v>9.4117647058823528E-2</c:v>
                </c:pt>
                <c:pt idx="232">
                  <c:v>9.0196078431372548E-2</c:v>
                </c:pt>
                <c:pt idx="233">
                  <c:v>8.6274509803921567E-2</c:v>
                </c:pt>
                <c:pt idx="234">
                  <c:v>8.2352941176470587E-2</c:v>
                </c:pt>
                <c:pt idx="235">
                  <c:v>7.8431372549019607E-2</c:v>
                </c:pt>
                <c:pt idx="236">
                  <c:v>7.4509803921568626E-2</c:v>
                </c:pt>
                <c:pt idx="237">
                  <c:v>7.0588235294117646E-2</c:v>
                </c:pt>
                <c:pt idx="238">
                  <c:v>6.6666666666666666E-2</c:v>
                </c:pt>
                <c:pt idx="239">
                  <c:v>6.2745098039215685E-2</c:v>
                </c:pt>
                <c:pt idx="240">
                  <c:v>5.8823529411764705E-2</c:v>
                </c:pt>
                <c:pt idx="241">
                  <c:v>5.4901960784313725E-2</c:v>
                </c:pt>
                <c:pt idx="242">
                  <c:v>5.0980392156862744E-2</c:v>
                </c:pt>
                <c:pt idx="243">
                  <c:v>4.7058823529411764E-2</c:v>
                </c:pt>
                <c:pt idx="244">
                  <c:v>4.3137254901960784E-2</c:v>
                </c:pt>
                <c:pt idx="245">
                  <c:v>3.9215686274509803E-2</c:v>
                </c:pt>
                <c:pt idx="246">
                  <c:v>3.5294117647058823E-2</c:v>
                </c:pt>
                <c:pt idx="247">
                  <c:v>3.1372549019607843E-2</c:v>
                </c:pt>
                <c:pt idx="248">
                  <c:v>2.7450980392156862E-2</c:v>
                </c:pt>
                <c:pt idx="249">
                  <c:v>2.3529411764705882E-2</c:v>
                </c:pt>
                <c:pt idx="250">
                  <c:v>1.9607843137254902E-2</c:v>
                </c:pt>
                <c:pt idx="251">
                  <c:v>1.5686274509803921E-2</c:v>
                </c:pt>
                <c:pt idx="252">
                  <c:v>1.1764705882352941E-2</c:v>
                </c:pt>
                <c:pt idx="253">
                  <c:v>7.8431372549019607E-3</c:v>
                </c:pt>
                <c:pt idx="254">
                  <c:v>3.9215686274509803E-3</c:v>
                </c:pt>
                <c:pt idx="2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155-4F1E-B7B4-6EB4D16AF865}"/>
            </c:ext>
          </c:extLst>
        </c:ser>
        <c:ser>
          <c:idx val="1"/>
          <c:order val="1"/>
          <c:tx>
            <c:v>1/t Slope</c:v>
          </c:tx>
          <c:spPr>
            <a:ln w="19050" cmpd="sng">
              <a:solidFill>
                <a:srgbClr val="FF0000"/>
              </a:solidFill>
            </a:ln>
          </c:spPr>
          <c:marker>
            <c:symbol val="none"/>
          </c:marker>
          <c:val>
            <c:numRef>
              <c:f>Tabelle1!$C$4:$C$259</c:f>
              <c:numCache>
                <c:formatCode>General</c:formatCode>
                <c:ptCount val="256"/>
                <c:pt idx="0">
                  <c:v>0.99999999999999911</c:v>
                </c:pt>
                <c:pt idx="1">
                  <c:v>0.95849056603773519</c:v>
                </c:pt>
                <c:pt idx="2">
                  <c:v>0.9199999999999996</c:v>
                </c:pt>
                <c:pt idx="3">
                  <c:v>0.88421052631578911</c:v>
                </c:pt>
                <c:pt idx="4">
                  <c:v>0.85084745762711755</c:v>
                </c:pt>
                <c:pt idx="5">
                  <c:v>0.81967213114754012</c:v>
                </c:pt>
                <c:pt idx="6">
                  <c:v>0.79047619047618978</c:v>
                </c:pt>
                <c:pt idx="7">
                  <c:v>0.76307692307692254</c:v>
                </c:pt>
                <c:pt idx="8">
                  <c:v>0.7373134328358204</c:v>
                </c:pt>
                <c:pt idx="9">
                  <c:v>0.71304347826086922</c:v>
                </c:pt>
                <c:pt idx="10">
                  <c:v>0.69014084507042228</c:v>
                </c:pt>
                <c:pt idx="11">
                  <c:v>0.66849315068493143</c:v>
                </c:pt>
                <c:pt idx="12">
                  <c:v>0.64799999999999935</c:v>
                </c:pt>
                <c:pt idx="13">
                  <c:v>0.62857142857142811</c:v>
                </c:pt>
                <c:pt idx="14">
                  <c:v>0.6101265822784806</c:v>
                </c:pt>
                <c:pt idx="15">
                  <c:v>0.59259259259259223</c:v>
                </c:pt>
                <c:pt idx="16">
                  <c:v>0.57590361445783111</c:v>
                </c:pt>
                <c:pt idx="17">
                  <c:v>0.55999999999999983</c:v>
                </c:pt>
                <c:pt idx="18">
                  <c:v>0.54482758620689642</c:v>
                </c:pt>
                <c:pt idx="19">
                  <c:v>0.53033707865168533</c:v>
                </c:pt>
                <c:pt idx="20">
                  <c:v>0.51648351648351609</c:v>
                </c:pt>
                <c:pt idx="21">
                  <c:v>0.50322580645161252</c:v>
                </c:pt>
                <c:pt idx="22">
                  <c:v>0.49052631578947337</c:v>
                </c:pt>
                <c:pt idx="23">
                  <c:v>0.47835051546391733</c:v>
                </c:pt>
                <c:pt idx="24">
                  <c:v>0.46666666666666645</c:v>
                </c:pt>
                <c:pt idx="25">
                  <c:v>0.45544554455445535</c:v>
                </c:pt>
                <c:pt idx="26">
                  <c:v>0.44466019417475722</c:v>
                </c:pt>
                <c:pt idx="27">
                  <c:v>0.43428571428571422</c:v>
                </c:pt>
                <c:pt idx="28">
                  <c:v>0.42429906542056045</c:v>
                </c:pt>
                <c:pt idx="29">
                  <c:v>0.41467889908256855</c:v>
                </c:pt>
                <c:pt idx="30">
                  <c:v>0.40540540540540521</c:v>
                </c:pt>
                <c:pt idx="31">
                  <c:v>0.39646017699115027</c:v>
                </c:pt>
                <c:pt idx="32">
                  <c:v>0.38782608695652165</c:v>
                </c:pt>
                <c:pt idx="33">
                  <c:v>0.37948717948717942</c:v>
                </c:pt>
                <c:pt idx="34">
                  <c:v>0.37142857142857133</c:v>
                </c:pt>
                <c:pt idx="35">
                  <c:v>0.36363636363636365</c:v>
                </c:pt>
                <c:pt idx="36">
                  <c:v>0.35609756097560952</c:v>
                </c:pt>
                <c:pt idx="37">
                  <c:v>0.34879999999999983</c:v>
                </c:pt>
                <c:pt idx="38">
                  <c:v>0.3417322834645668</c:v>
                </c:pt>
                <c:pt idx="39">
                  <c:v>0.33488372093023244</c:v>
                </c:pt>
                <c:pt idx="40">
                  <c:v>0.32824427480916024</c:v>
                </c:pt>
                <c:pt idx="41">
                  <c:v>0.32180451127819543</c:v>
                </c:pt>
                <c:pt idx="42">
                  <c:v>0.31555555555555553</c:v>
                </c:pt>
                <c:pt idx="43">
                  <c:v>0.3094890510948905</c:v>
                </c:pt>
                <c:pt idx="44">
                  <c:v>0.30359712230215813</c:v>
                </c:pt>
                <c:pt idx="45">
                  <c:v>0.29787234042553179</c:v>
                </c:pt>
                <c:pt idx="46">
                  <c:v>0.29230769230769221</c:v>
                </c:pt>
                <c:pt idx="47">
                  <c:v>0.28689655172413786</c:v>
                </c:pt>
                <c:pt idx="48">
                  <c:v>0.28163265306122442</c:v>
                </c:pt>
                <c:pt idx="49">
                  <c:v>0.27651006711409393</c:v>
                </c:pt>
                <c:pt idx="50">
                  <c:v>0.27152317880794696</c:v>
                </c:pt>
                <c:pt idx="51">
                  <c:v>0.26666666666666666</c:v>
                </c:pt>
                <c:pt idx="52">
                  <c:v>0.2619354838709676</c:v>
                </c:pt>
                <c:pt idx="53">
                  <c:v>0.25732484076433115</c:v>
                </c:pt>
                <c:pt idx="54">
                  <c:v>0.25283018867924523</c:v>
                </c:pt>
                <c:pt idx="55">
                  <c:v>0.24844720496894401</c:v>
                </c:pt>
                <c:pt idx="56">
                  <c:v>0.24417177914110424</c:v>
                </c:pt>
                <c:pt idx="57">
                  <c:v>0.23999999999999996</c:v>
                </c:pt>
                <c:pt idx="58">
                  <c:v>0.23592814371257484</c:v>
                </c:pt>
                <c:pt idx="59">
                  <c:v>0.23195266272189349</c:v>
                </c:pt>
                <c:pt idx="60">
                  <c:v>0.22807017543859642</c:v>
                </c:pt>
                <c:pt idx="61">
                  <c:v>0.22427745664739876</c:v>
                </c:pt>
                <c:pt idx="62">
                  <c:v>0.2205714285714285</c:v>
                </c:pt>
                <c:pt idx="63">
                  <c:v>0.21694915254237285</c:v>
                </c:pt>
                <c:pt idx="64">
                  <c:v>0.21340782122905025</c:v>
                </c:pt>
                <c:pt idx="65">
                  <c:v>0.20994475138121543</c:v>
                </c:pt>
                <c:pt idx="66">
                  <c:v>0.20655737704918031</c:v>
                </c:pt>
                <c:pt idx="67">
                  <c:v>0.20324324324324322</c:v>
                </c:pt>
                <c:pt idx="68">
                  <c:v>0.19999999999999993</c:v>
                </c:pt>
                <c:pt idx="69">
                  <c:v>0.19682539682539674</c:v>
                </c:pt>
                <c:pt idx="70">
                  <c:v>0.19371727748691095</c:v>
                </c:pt>
                <c:pt idx="71">
                  <c:v>0.19067357512953365</c:v>
                </c:pt>
                <c:pt idx="72">
                  <c:v>0.18769230769230763</c:v>
                </c:pt>
                <c:pt idx="73">
                  <c:v>0.18477157360406091</c:v>
                </c:pt>
                <c:pt idx="74">
                  <c:v>0.18190954773869344</c:v>
                </c:pt>
                <c:pt idx="75">
                  <c:v>0.17910447761194032</c:v>
                </c:pt>
                <c:pt idx="76">
                  <c:v>0.17635467980295558</c:v>
                </c:pt>
                <c:pt idx="77">
                  <c:v>0.17365853658536581</c:v>
                </c:pt>
                <c:pt idx="78">
                  <c:v>0.17101449275362315</c:v>
                </c:pt>
                <c:pt idx="79">
                  <c:v>0.16842105263157889</c:v>
                </c:pt>
                <c:pt idx="80">
                  <c:v>0.16587677725118483</c:v>
                </c:pt>
                <c:pt idx="81">
                  <c:v>0.16338028169014082</c:v>
                </c:pt>
                <c:pt idx="82">
                  <c:v>0.16093023255813954</c:v>
                </c:pt>
                <c:pt idx="83">
                  <c:v>0.15852534562211981</c:v>
                </c:pt>
                <c:pt idx="84">
                  <c:v>0.1561643835616438</c:v>
                </c:pt>
                <c:pt idx="85">
                  <c:v>0.1538461538461538</c:v>
                </c:pt>
                <c:pt idx="86">
                  <c:v>0.15156950672645736</c:v>
                </c:pt>
                <c:pt idx="87">
                  <c:v>0.14933333333333332</c:v>
                </c:pt>
                <c:pt idx="88">
                  <c:v>0.14713656387665194</c:v>
                </c:pt>
                <c:pt idx="89">
                  <c:v>0.14497816593886462</c:v>
                </c:pt>
                <c:pt idx="90">
                  <c:v>0.14285714285714285</c:v>
                </c:pt>
                <c:pt idx="91">
                  <c:v>0.1407725321888412</c:v>
                </c:pt>
                <c:pt idx="92">
                  <c:v>0.13872340425531909</c:v>
                </c:pt>
                <c:pt idx="93">
                  <c:v>0.13670886075949362</c:v>
                </c:pt>
                <c:pt idx="94">
                  <c:v>0.13472803347280332</c:v>
                </c:pt>
                <c:pt idx="95">
                  <c:v>0.13278008298755184</c:v>
                </c:pt>
                <c:pt idx="96">
                  <c:v>0.13086419753086417</c:v>
                </c:pt>
                <c:pt idx="97">
                  <c:v>0.12897959183673469</c:v>
                </c:pt>
                <c:pt idx="98">
                  <c:v>0.12712550607287448</c:v>
                </c:pt>
                <c:pt idx="99">
                  <c:v>0.12530120481927712</c:v>
                </c:pt>
                <c:pt idx="100">
                  <c:v>0.12350597609561749</c:v>
                </c:pt>
                <c:pt idx="101">
                  <c:v>0.12173913043478259</c:v>
                </c:pt>
                <c:pt idx="102">
                  <c:v>0.11999999999999997</c:v>
                </c:pt>
                <c:pt idx="103">
                  <c:v>0.11828793774319064</c:v>
                </c:pt>
                <c:pt idx="104">
                  <c:v>0.11660231660231658</c:v>
                </c:pt>
                <c:pt idx="105">
                  <c:v>0.11494252873563218</c:v>
                </c:pt>
                <c:pt idx="106">
                  <c:v>0.11330798479087453</c:v>
                </c:pt>
                <c:pt idx="107">
                  <c:v>0.11169811320754718</c:v>
                </c:pt>
                <c:pt idx="108">
                  <c:v>0.11011235955056177</c:v>
                </c:pt>
                <c:pt idx="109">
                  <c:v>0.10855018587360592</c:v>
                </c:pt>
                <c:pt idx="110">
                  <c:v>0.10701107011070109</c:v>
                </c:pt>
                <c:pt idx="111">
                  <c:v>0.10549450549450548</c:v>
                </c:pt>
                <c:pt idx="112">
                  <c:v>0.104</c:v>
                </c:pt>
                <c:pt idx="113">
                  <c:v>0.10252707581227437</c:v>
                </c:pt>
                <c:pt idx="114">
                  <c:v>0.1010752688172043</c:v>
                </c:pt>
                <c:pt idx="115">
                  <c:v>9.9644128113879002E-2</c:v>
                </c:pt>
                <c:pt idx="116">
                  <c:v>9.8233215547703145E-2</c:v>
                </c:pt>
                <c:pt idx="117">
                  <c:v>9.6842105263157868E-2</c:v>
                </c:pt>
                <c:pt idx="118">
                  <c:v>9.5470383275261306E-2</c:v>
                </c:pt>
                <c:pt idx="119">
                  <c:v>9.4117647058823514E-2</c:v>
                </c:pt>
                <c:pt idx="120">
                  <c:v>9.2783505154639179E-2</c:v>
                </c:pt>
                <c:pt idx="121">
                  <c:v>9.1467576791808863E-2</c:v>
                </c:pt>
                <c:pt idx="122">
                  <c:v>9.0169491525423723E-2</c:v>
                </c:pt>
                <c:pt idx="123">
                  <c:v>8.8888888888888892E-2</c:v>
                </c:pt>
                <c:pt idx="124">
                  <c:v>8.7625418060200647E-2</c:v>
                </c:pt>
                <c:pt idx="125">
                  <c:v>8.6378737541528222E-2</c:v>
                </c:pt>
                <c:pt idx="126">
                  <c:v>8.5148514851485141E-2</c:v>
                </c:pt>
                <c:pt idx="127">
                  <c:v>8.3934426229508197E-2</c:v>
                </c:pt>
                <c:pt idx="128">
                  <c:v>8.2736156351791518E-2</c:v>
                </c:pt>
                <c:pt idx="129">
                  <c:v>8.155339805825243E-2</c:v>
                </c:pt>
                <c:pt idx="130">
                  <c:v>8.0385852090032142E-2</c:v>
                </c:pt>
                <c:pt idx="131">
                  <c:v>7.9233226837060702E-2</c:v>
                </c:pt>
                <c:pt idx="132">
                  <c:v>7.8095238095238106E-2</c:v>
                </c:pt>
                <c:pt idx="133">
                  <c:v>7.6971608832807584E-2</c:v>
                </c:pt>
                <c:pt idx="134">
                  <c:v>7.586206896551724E-2</c:v>
                </c:pt>
                <c:pt idx="135">
                  <c:v>7.476635514018691E-2</c:v>
                </c:pt>
                <c:pt idx="136">
                  <c:v>7.3684210526315783E-2</c:v>
                </c:pt>
                <c:pt idx="137">
                  <c:v>7.2615384615384609E-2</c:v>
                </c:pt>
                <c:pt idx="138">
                  <c:v>7.1559633027522912E-2</c:v>
                </c:pt>
                <c:pt idx="139">
                  <c:v>7.0516717325227948E-2</c:v>
                </c:pt>
                <c:pt idx="140">
                  <c:v>6.9486404833836848E-2</c:v>
                </c:pt>
                <c:pt idx="141">
                  <c:v>6.8468468468468463E-2</c:v>
                </c:pt>
                <c:pt idx="142">
                  <c:v>6.7462686567164171E-2</c:v>
                </c:pt>
                <c:pt idx="143">
                  <c:v>6.6468842729970321E-2</c:v>
                </c:pt>
                <c:pt idx="144">
                  <c:v>6.5486725663716813E-2</c:v>
                </c:pt>
                <c:pt idx="145">
                  <c:v>6.4516129032258063E-2</c:v>
                </c:pt>
                <c:pt idx="146">
                  <c:v>6.355685131195335E-2</c:v>
                </c:pt>
                <c:pt idx="147">
                  <c:v>6.2608695652173918E-2</c:v>
                </c:pt>
                <c:pt idx="148">
                  <c:v>6.1671469740634005E-2</c:v>
                </c:pt>
                <c:pt idx="149">
                  <c:v>6.0744985673352438E-2</c:v>
                </c:pt>
                <c:pt idx="150">
                  <c:v>5.9829059829059818E-2</c:v>
                </c:pt>
                <c:pt idx="151">
                  <c:v>5.8923512747875349E-2</c:v>
                </c:pt>
                <c:pt idx="152">
                  <c:v>5.8028169014084509E-2</c:v>
                </c:pt>
                <c:pt idx="153">
                  <c:v>5.7142857142857148E-2</c:v>
                </c:pt>
                <c:pt idx="154">
                  <c:v>5.6267409470752081E-2</c:v>
                </c:pt>
                <c:pt idx="155">
                  <c:v>5.540166204986148E-2</c:v>
                </c:pt>
                <c:pt idx="156">
                  <c:v>5.4545454545454536E-2</c:v>
                </c:pt>
                <c:pt idx="157">
                  <c:v>5.3698630136986301E-2</c:v>
                </c:pt>
                <c:pt idx="158">
                  <c:v>5.2861035422343321E-2</c:v>
                </c:pt>
                <c:pt idx="159">
                  <c:v>5.2032520325203252E-2</c:v>
                </c:pt>
                <c:pt idx="160">
                  <c:v>5.1212938005390826E-2</c:v>
                </c:pt>
                <c:pt idx="161">
                  <c:v>5.0402144772117963E-2</c:v>
                </c:pt>
                <c:pt idx="162">
                  <c:v>4.9599999999999991E-2</c:v>
                </c:pt>
                <c:pt idx="163">
                  <c:v>4.880636604774536E-2</c:v>
                </c:pt>
                <c:pt idx="164">
                  <c:v>4.8021108179419528E-2</c:v>
                </c:pt>
                <c:pt idx="165">
                  <c:v>4.7244094488188983E-2</c:v>
                </c:pt>
                <c:pt idx="166">
                  <c:v>4.6475195822454303E-2</c:v>
                </c:pt>
                <c:pt idx="167">
                  <c:v>4.5714285714285707E-2</c:v>
                </c:pt>
                <c:pt idx="168">
                  <c:v>4.4961240310077519E-2</c:v>
                </c:pt>
                <c:pt idx="169">
                  <c:v>4.4215938303341903E-2</c:v>
                </c:pt>
                <c:pt idx="170">
                  <c:v>4.3478260869565209E-2</c:v>
                </c:pt>
                <c:pt idx="171">
                  <c:v>4.2748091603053429E-2</c:v>
                </c:pt>
                <c:pt idx="172">
                  <c:v>4.2025316455696203E-2</c:v>
                </c:pt>
                <c:pt idx="173">
                  <c:v>4.1309823677581861E-2</c:v>
                </c:pt>
                <c:pt idx="174">
                  <c:v>4.0601503759398486E-2</c:v>
                </c:pt>
                <c:pt idx="175">
                  <c:v>3.9900249376558596E-2</c:v>
                </c:pt>
                <c:pt idx="176">
                  <c:v>3.9205955334987594E-2</c:v>
                </c:pt>
                <c:pt idx="177">
                  <c:v>3.8518518518518521E-2</c:v>
                </c:pt>
                <c:pt idx="178">
                  <c:v>3.783783783783784E-2</c:v>
                </c:pt>
                <c:pt idx="179">
                  <c:v>3.7163814180929094E-2</c:v>
                </c:pt>
                <c:pt idx="180">
                  <c:v>3.6496350364963508E-2</c:v>
                </c:pt>
                <c:pt idx="181">
                  <c:v>3.583535108958838E-2</c:v>
                </c:pt>
                <c:pt idx="182">
                  <c:v>3.5180722891566256E-2</c:v>
                </c:pt>
                <c:pt idx="183">
                  <c:v>3.4532374100719423E-2</c:v>
                </c:pt>
                <c:pt idx="184">
                  <c:v>3.389021479713604E-2</c:v>
                </c:pt>
                <c:pt idx="185">
                  <c:v>3.3254156769596199E-2</c:v>
                </c:pt>
                <c:pt idx="186">
                  <c:v>3.2624113475177297E-2</c:v>
                </c:pt>
                <c:pt idx="187">
                  <c:v>3.1999999999999994E-2</c:v>
                </c:pt>
                <c:pt idx="188">
                  <c:v>3.1381733021077281E-2</c:v>
                </c:pt>
                <c:pt idx="189">
                  <c:v>3.0769230769230771E-2</c:v>
                </c:pt>
                <c:pt idx="190">
                  <c:v>3.0162412993039438E-2</c:v>
                </c:pt>
                <c:pt idx="191">
                  <c:v>2.9561200923787528E-2</c:v>
                </c:pt>
                <c:pt idx="192">
                  <c:v>2.8965517241379309E-2</c:v>
                </c:pt>
                <c:pt idx="193">
                  <c:v>2.837528604118993E-2</c:v>
                </c:pt>
                <c:pt idx="194">
                  <c:v>2.7790432801822328E-2</c:v>
                </c:pt>
                <c:pt idx="195">
                  <c:v>2.7210884353741496E-2</c:v>
                </c:pt>
                <c:pt idx="196">
                  <c:v>2.6636568848758466E-2</c:v>
                </c:pt>
                <c:pt idx="197">
                  <c:v>2.6067415730337076E-2</c:v>
                </c:pt>
                <c:pt idx="198">
                  <c:v>2.5503355704697986E-2</c:v>
                </c:pt>
                <c:pt idx="199">
                  <c:v>2.4944320712694874E-2</c:v>
                </c:pt>
                <c:pt idx="200">
                  <c:v>2.4390243902439025E-2</c:v>
                </c:pt>
                <c:pt idx="201">
                  <c:v>2.3841059602649008E-2</c:v>
                </c:pt>
                <c:pt idx="202">
                  <c:v>2.3296703296703296E-2</c:v>
                </c:pt>
                <c:pt idx="203">
                  <c:v>2.2757111597374178E-2</c:v>
                </c:pt>
                <c:pt idx="204">
                  <c:v>2.2222222222222223E-2</c:v>
                </c:pt>
                <c:pt idx="205">
                  <c:v>2.1691973969631233E-2</c:v>
                </c:pt>
                <c:pt idx="206">
                  <c:v>2.1166306695464362E-2</c:v>
                </c:pt>
                <c:pt idx="207">
                  <c:v>2.0645161290322581E-2</c:v>
                </c:pt>
                <c:pt idx="208">
                  <c:v>2.012847965738758E-2</c:v>
                </c:pt>
                <c:pt idx="209">
                  <c:v>1.9616204690831557E-2</c:v>
                </c:pt>
                <c:pt idx="210">
                  <c:v>1.9108280254777073E-2</c:v>
                </c:pt>
                <c:pt idx="211">
                  <c:v>1.8604651162790697E-2</c:v>
                </c:pt>
                <c:pt idx="212">
                  <c:v>1.8105263157894739E-2</c:v>
                </c:pt>
                <c:pt idx="213">
                  <c:v>1.7610062893081761E-2</c:v>
                </c:pt>
                <c:pt idx="214">
                  <c:v>1.7118997912317326E-2</c:v>
                </c:pt>
                <c:pt idx="215">
                  <c:v>1.6632016632016629E-2</c:v>
                </c:pt>
                <c:pt idx="216">
                  <c:v>1.6149068322981366E-2</c:v>
                </c:pt>
                <c:pt idx="217">
                  <c:v>1.5670103092783504E-2</c:v>
                </c:pt>
                <c:pt idx="218">
                  <c:v>1.5195071868583163E-2</c:v>
                </c:pt>
                <c:pt idx="219">
                  <c:v>1.4723926380368096E-2</c:v>
                </c:pt>
                <c:pt idx="220">
                  <c:v>1.425661914460285E-2</c:v>
                </c:pt>
                <c:pt idx="221">
                  <c:v>1.3793103448275862E-2</c:v>
                </c:pt>
                <c:pt idx="222">
                  <c:v>1.3333333333333334E-2</c:v>
                </c:pt>
                <c:pt idx="223">
                  <c:v>1.2877263581488933E-2</c:v>
                </c:pt>
                <c:pt idx="224">
                  <c:v>1.2424849699398798E-2</c:v>
                </c:pt>
                <c:pt idx="225">
                  <c:v>1.1976047904191616E-2</c:v>
                </c:pt>
                <c:pt idx="226">
                  <c:v>1.1530815109343936E-2</c:v>
                </c:pt>
                <c:pt idx="227">
                  <c:v>1.1089108910891089E-2</c:v>
                </c:pt>
                <c:pt idx="228">
                  <c:v>1.0650887573964497E-2</c:v>
                </c:pt>
                <c:pt idx="229">
                  <c:v>1.0216110019646365E-2</c:v>
                </c:pt>
                <c:pt idx="230">
                  <c:v>9.7847358121330719E-3</c:v>
                </c:pt>
                <c:pt idx="231">
                  <c:v>9.3567251461988323E-3</c:v>
                </c:pt>
                <c:pt idx="232">
                  <c:v>8.932038834951455E-3</c:v>
                </c:pt>
                <c:pt idx="233">
                  <c:v>8.5106382978723388E-3</c:v>
                </c:pt>
                <c:pt idx="234">
                  <c:v>8.0924855491329474E-3</c:v>
                </c:pt>
                <c:pt idx="235">
                  <c:v>7.6775431861804211E-3</c:v>
                </c:pt>
                <c:pt idx="236">
                  <c:v>7.2657743785850852E-3</c:v>
                </c:pt>
                <c:pt idx="237">
                  <c:v>6.8571428571428568E-3</c:v>
                </c:pt>
                <c:pt idx="238">
                  <c:v>6.4516129032258064E-3</c:v>
                </c:pt>
                <c:pt idx="239">
                  <c:v>6.0491493383742915E-3</c:v>
                </c:pt>
                <c:pt idx="240">
                  <c:v>5.6497175141242929E-3</c:v>
                </c:pt>
                <c:pt idx="241">
                  <c:v>5.2532833020637899E-3</c:v>
                </c:pt>
                <c:pt idx="242">
                  <c:v>4.8598130841121497E-3</c:v>
                </c:pt>
                <c:pt idx="243">
                  <c:v>4.4692737430167603E-3</c:v>
                </c:pt>
                <c:pt idx="244">
                  <c:v>4.081632653061224E-3</c:v>
                </c:pt>
                <c:pt idx="245">
                  <c:v>3.6968576709796672E-3</c:v>
                </c:pt>
                <c:pt idx="246">
                  <c:v>3.3149171270718232E-3</c:v>
                </c:pt>
                <c:pt idx="247">
                  <c:v>2.935779816513761E-3</c:v>
                </c:pt>
                <c:pt idx="248">
                  <c:v>2.5594149908592318E-3</c:v>
                </c:pt>
                <c:pt idx="249">
                  <c:v>2.185792349726776E-3</c:v>
                </c:pt>
                <c:pt idx="250">
                  <c:v>1.8148820326678763E-3</c:v>
                </c:pt>
                <c:pt idx="251">
                  <c:v>1.4466546112115732E-3</c:v>
                </c:pt>
                <c:pt idx="252">
                  <c:v>1.0810810810810811E-3</c:v>
                </c:pt>
                <c:pt idx="253">
                  <c:v>7.1813285457809689E-4</c:v>
                </c:pt>
                <c:pt idx="254">
                  <c:v>3.5778175313059033E-4</c:v>
                </c:pt>
                <c:pt idx="2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55-4F1E-B7B4-6EB4D16AF865}"/>
            </c:ext>
          </c:extLst>
        </c:ser>
        <c:ser>
          <c:idx val="3"/>
          <c:order val="2"/>
          <c:tx>
            <c:v>1/t + MinDyn</c:v>
          </c:tx>
          <c:spPr>
            <a:ln w="19050"/>
          </c:spPr>
          <c:marker>
            <c:symbol val="none"/>
          </c:marker>
          <c:val>
            <c:numRef>
              <c:f>Tabelle1!$D$4:$D$259</c:f>
              <c:numCache>
                <c:formatCode>General</c:formatCode>
                <c:ptCount val="256"/>
                <c:pt idx="0">
                  <c:v>0.99999999999999922</c:v>
                </c:pt>
                <c:pt idx="1">
                  <c:v>0.9617590254048427</c:v>
                </c:pt>
                <c:pt idx="2">
                  <c:v>0.92629921259842485</c:v>
                </c:pt>
                <c:pt idx="3">
                  <c:v>0.89332780770824671</c:v>
                </c:pt>
                <c:pt idx="4">
                  <c:v>0.86259175230214769</c:v>
                </c:pt>
                <c:pt idx="5">
                  <c:v>0.83387117593907234</c:v>
                </c:pt>
                <c:pt idx="6">
                  <c:v>0.80697412823397008</c:v>
                </c:pt>
                <c:pt idx="7">
                  <c:v>0.78173228346456647</c:v>
                </c:pt>
                <c:pt idx="8">
                  <c:v>0.75799741450229119</c:v>
                </c:pt>
                <c:pt idx="9">
                  <c:v>0.73563847997261178</c:v>
                </c:pt>
                <c:pt idx="10">
                  <c:v>0.71453920372629454</c:v>
                </c:pt>
                <c:pt idx="11">
                  <c:v>0.69459605220580301</c:v>
                </c:pt>
                <c:pt idx="12">
                  <c:v>0.67571653543307031</c:v>
                </c:pt>
                <c:pt idx="13">
                  <c:v>0.65781777277840225</c:v>
                </c:pt>
                <c:pt idx="14">
                  <c:v>0.64082527658726163</c:v>
                </c:pt>
                <c:pt idx="15">
                  <c:v>0.62467191601049832</c:v>
                </c:pt>
                <c:pt idx="16">
                  <c:v>0.60929703064225382</c:v>
                </c:pt>
                <c:pt idx="17">
                  <c:v>0.59464566929133844</c:v>
                </c:pt>
                <c:pt idx="18">
                  <c:v>0.58066793374966041</c:v>
                </c:pt>
                <c:pt idx="19">
                  <c:v>0.56731841104131642</c:v>
                </c:pt>
                <c:pt idx="20">
                  <c:v>0.55455568053993221</c:v>
                </c:pt>
                <c:pt idx="21">
                  <c:v>0.54234188468376898</c:v>
                </c:pt>
                <c:pt idx="22">
                  <c:v>0.53064235391628645</c:v>
                </c:pt>
                <c:pt idx="23">
                  <c:v>0.51942527802581362</c:v>
                </c:pt>
                <c:pt idx="24">
                  <c:v>0.50866141732283443</c:v>
                </c:pt>
                <c:pt idx="25">
                  <c:v>0.49832384813284469</c:v>
                </c:pt>
                <c:pt idx="26">
                  <c:v>0.48838773794052437</c:v>
                </c:pt>
                <c:pt idx="27">
                  <c:v>0.47883014623172093</c:v>
                </c:pt>
                <c:pt idx="28">
                  <c:v>0.46962984767090998</c:v>
                </c:pt>
                <c:pt idx="29">
                  <c:v>0.46076717474535844</c:v>
                </c:pt>
                <c:pt idx="30">
                  <c:v>0.45222387742072767</c:v>
                </c:pt>
                <c:pt idx="31">
                  <c:v>0.44398299770050853</c:v>
                </c:pt>
                <c:pt idx="32">
                  <c:v>0.43602875727490575</c:v>
                </c:pt>
                <c:pt idx="33">
                  <c:v>0.42834645669291338</c:v>
                </c:pt>
                <c:pt idx="34">
                  <c:v>0.42092238470191223</c:v>
                </c:pt>
                <c:pt idx="35">
                  <c:v>0.41374373657838226</c:v>
                </c:pt>
                <c:pt idx="36">
                  <c:v>0.40679854042634889</c:v>
                </c:pt>
                <c:pt idx="37">
                  <c:v>0.40007559055118092</c:v>
                </c:pt>
                <c:pt idx="38">
                  <c:v>0.39356438712877417</c:v>
                </c:pt>
                <c:pt idx="39">
                  <c:v>0.38725508148690702</c:v>
                </c:pt>
                <c:pt idx="40">
                  <c:v>0.3811384263989902</c:v>
                </c:pt>
                <c:pt idx="41">
                  <c:v>0.37520573086258946</c:v>
                </c:pt>
                <c:pt idx="42">
                  <c:v>0.36944881889763781</c:v>
                </c:pt>
                <c:pt idx="43">
                  <c:v>0.36385999195356056</c:v>
                </c:pt>
                <c:pt idx="44">
                  <c:v>0.35843199456183072</c:v>
                </c:pt>
                <c:pt idx="45">
                  <c:v>0.35315798291171041</c:v>
                </c:pt>
                <c:pt idx="46">
                  <c:v>0.348031496062992</c:v>
                </c:pt>
                <c:pt idx="47">
                  <c:v>0.34304642954113485</c:v>
                </c:pt>
                <c:pt idx="48">
                  <c:v>0.33819701108789968</c:v>
                </c:pt>
                <c:pt idx="49">
                  <c:v>0.33347777836495263</c:v>
                </c:pt>
                <c:pt idx="50">
                  <c:v>0.32888355842936845</c:v>
                </c:pt>
                <c:pt idx="51">
                  <c:v>0.32440944881889766</c:v>
                </c:pt>
                <c:pt idx="52">
                  <c:v>0.32005080010160009</c:v>
                </c:pt>
                <c:pt idx="53">
                  <c:v>0.31580319975926574</c:v>
                </c:pt>
                <c:pt idx="54">
                  <c:v>0.31166245728717867</c:v>
                </c:pt>
                <c:pt idx="55">
                  <c:v>0.30762459040446022</c:v>
                </c:pt>
                <c:pt idx="56">
                  <c:v>0.30368581227960001</c:v>
                </c:pt>
                <c:pt idx="57">
                  <c:v>0.29984251968503933</c:v>
                </c:pt>
                <c:pt idx="58">
                  <c:v>0.29609128200292328</c:v>
                </c:pt>
                <c:pt idx="59">
                  <c:v>0.29242883101150818</c:v>
                </c:pt>
                <c:pt idx="60">
                  <c:v>0.28885205138831327</c:v>
                </c:pt>
                <c:pt idx="61">
                  <c:v>0.28535797187201306</c:v>
                </c:pt>
                <c:pt idx="62">
                  <c:v>0.28194375703037111</c:v>
                </c:pt>
                <c:pt idx="63">
                  <c:v>0.27860669958628048</c:v>
                </c:pt>
                <c:pt idx="64">
                  <c:v>0.27534421325825886</c:v>
                </c:pt>
                <c:pt idx="65">
                  <c:v>0.2721538260756079</c:v>
                </c:pt>
                <c:pt idx="66">
                  <c:v>0.26903317413192201</c:v>
                </c:pt>
                <c:pt idx="67">
                  <c:v>0.26597999574377529</c:v>
                </c:pt>
                <c:pt idx="68">
                  <c:v>0.26299212598425192</c:v>
                </c:pt>
                <c:pt idx="69">
                  <c:v>0.26006749156355446</c:v>
                </c:pt>
                <c:pt idx="70">
                  <c:v>0.25720410603124866</c:v>
                </c:pt>
                <c:pt idx="71">
                  <c:v>0.25440006527681447</c:v>
                </c:pt>
                <c:pt idx="72">
                  <c:v>0.25165354330708656</c:v>
                </c:pt>
                <c:pt idx="73">
                  <c:v>0.24896278828090651</c:v>
                </c:pt>
                <c:pt idx="74">
                  <c:v>0.24632611878289082</c:v>
                </c:pt>
                <c:pt idx="75">
                  <c:v>0.24374192031966155</c:v>
                </c:pt>
                <c:pt idx="76">
                  <c:v>0.24120864202319531</c:v>
                </c:pt>
                <c:pt idx="77">
                  <c:v>0.23872479354714804</c:v>
                </c:pt>
                <c:pt idx="78">
                  <c:v>0.23628894214310164</c:v>
                </c:pt>
                <c:pt idx="79">
                  <c:v>0.23389970990468292</c:v>
                </c:pt>
                <c:pt idx="80">
                  <c:v>0.23155577116841436</c:v>
                </c:pt>
                <c:pt idx="81">
                  <c:v>0.22925585006099589</c:v>
                </c:pt>
                <c:pt idx="82">
                  <c:v>0.22699871818348288</c:v>
                </c:pt>
                <c:pt idx="83">
                  <c:v>0.22478319242352771</c:v>
                </c:pt>
                <c:pt idx="84">
                  <c:v>0.22260813288749862</c:v>
                </c:pt>
                <c:pt idx="85">
                  <c:v>0.22047244094488186</c:v>
                </c:pt>
                <c:pt idx="86">
                  <c:v>0.2183750573779174</c:v>
                </c:pt>
                <c:pt idx="87">
                  <c:v>0.21631496062992125</c:v>
                </c:pt>
                <c:pt idx="88">
                  <c:v>0.21429116514620691</c:v>
                </c:pt>
                <c:pt idx="89">
                  <c:v>0.21230271980194615</c:v>
                </c:pt>
                <c:pt idx="90">
                  <c:v>0.21034870641169853</c:v>
                </c:pt>
                <c:pt idx="91">
                  <c:v>0.20842823831570409</c:v>
                </c:pt>
                <c:pt idx="92">
                  <c:v>0.20654045903836485</c:v>
                </c:pt>
                <c:pt idx="93">
                  <c:v>0.20468454101465161</c:v>
                </c:pt>
                <c:pt idx="94">
                  <c:v>0.2028596843804566</c:v>
                </c:pt>
                <c:pt idx="95">
                  <c:v>0.20106511582317768</c:v>
                </c:pt>
                <c:pt idx="96">
                  <c:v>0.19930008748906386</c:v>
                </c:pt>
                <c:pt idx="97">
                  <c:v>0.19756387594407843</c:v>
                </c:pt>
                <c:pt idx="98">
                  <c:v>0.19585578118524657</c:v>
                </c:pt>
                <c:pt idx="99">
                  <c:v>0.19417512569964901</c:v>
                </c:pt>
                <c:pt idx="100">
                  <c:v>0.19252125356840352</c:v>
                </c:pt>
                <c:pt idx="101">
                  <c:v>0.19089352961314615</c:v>
                </c:pt>
                <c:pt idx="102">
                  <c:v>0.18929133858267713</c:v>
                </c:pt>
                <c:pt idx="103">
                  <c:v>0.18771408437758508</c:v>
                </c:pt>
                <c:pt idx="104">
                  <c:v>0.18616118931079559</c:v>
                </c:pt>
                <c:pt idx="105">
                  <c:v>0.18463209340211784</c:v>
                </c:pt>
                <c:pt idx="106">
                  <c:v>0.1831262537049789</c:v>
                </c:pt>
                <c:pt idx="107">
                  <c:v>0.18164314366364581</c:v>
                </c:pt>
                <c:pt idx="108">
                  <c:v>0.18018225249933645</c:v>
                </c:pt>
                <c:pt idx="109">
                  <c:v>0.17874308462371569</c:v>
                </c:pt>
                <c:pt idx="110">
                  <c:v>0.17732515907836244</c:v>
                </c:pt>
                <c:pt idx="111">
                  <c:v>0.17592800899887512</c:v>
                </c:pt>
                <c:pt idx="112">
                  <c:v>0.1745511811023622</c:v>
                </c:pt>
                <c:pt idx="113">
                  <c:v>0.17319423519713467</c:v>
                </c:pt>
                <c:pt idx="114">
                  <c:v>0.17185674371348741</c:v>
                </c:pt>
                <c:pt idx="115">
                  <c:v>0.17053829125451847</c:v>
                </c:pt>
                <c:pt idx="116">
                  <c:v>0.16923847416599425</c:v>
                </c:pt>
                <c:pt idx="117">
                  <c:v>0.16795690012432654</c:v>
                </c:pt>
                <c:pt idx="118">
                  <c:v>0.16669318774177616</c:v>
                </c:pt>
                <c:pt idx="119">
                  <c:v>0.16544696618804999</c:v>
                </c:pt>
                <c:pt idx="120">
                  <c:v>0.16421787482750222</c:v>
                </c:pt>
                <c:pt idx="121">
                  <c:v>0.163005562871194</c:v>
                </c:pt>
                <c:pt idx="122">
                  <c:v>0.16180968904310689</c:v>
                </c:pt>
                <c:pt idx="123">
                  <c:v>0.16062992125984252</c:v>
                </c:pt>
                <c:pt idx="124">
                  <c:v>0.15946593632317696</c:v>
                </c:pt>
                <c:pt idx="125">
                  <c:v>0.15831741962487245</c:v>
                </c:pt>
                <c:pt idx="126">
                  <c:v>0.15718406486317921</c:v>
                </c:pt>
                <c:pt idx="127">
                  <c:v>0.15606557377049179</c:v>
                </c:pt>
                <c:pt idx="128">
                  <c:v>0.15496165585165045</c:v>
                </c:pt>
                <c:pt idx="129">
                  <c:v>0.1538720281324058</c:v>
                </c:pt>
                <c:pt idx="130">
                  <c:v>0.15279641491758866</c:v>
                </c:pt>
                <c:pt idx="131">
                  <c:v>0.15173454755855198</c:v>
                </c:pt>
                <c:pt idx="132">
                  <c:v>0.15068616422947134</c:v>
                </c:pt>
                <c:pt idx="133">
                  <c:v>0.14965100971211409</c:v>
                </c:pt>
                <c:pt idx="134">
                  <c:v>0.14862883518870484</c:v>
                </c:pt>
                <c:pt idx="135">
                  <c:v>0.14761939804253441</c:v>
                </c:pt>
                <c:pt idx="136">
                  <c:v>0.14662246166597598</c:v>
                </c:pt>
                <c:pt idx="137">
                  <c:v>0.14563779527559056</c:v>
                </c:pt>
                <c:pt idx="138">
                  <c:v>0.14466517373401716</c:v>
                </c:pt>
                <c:pt idx="139">
                  <c:v>0.14370437737835962</c:v>
                </c:pt>
                <c:pt idx="140">
                  <c:v>0.14275519185479457</c:v>
                </c:pt>
                <c:pt idx="141">
                  <c:v>0.14181740795914022</c:v>
                </c:pt>
                <c:pt idx="142">
                  <c:v>0.1408908214831355</c:v>
                </c:pt>
                <c:pt idx="143">
                  <c:v>0.13997523306619314</c:v>
                </c:pt>
                <c:pt idx="144">
                  <c:v>0.13907044805240054</c:v>
                </c:pt>
                <c:pt idx="145">
                  <c:v>0.1381762763525527</c:v>
                </c:pt>
                <c:pt idx="146">
                  <c:v>0.13729253231101213</c:v>
                </c:pt>
                <c:pt idx="147">
                  <c:v>0.13641903457719959</c:v>
                </c:pt>
                <c:pt idx="148">
                  <c:v>0.13555560598152896</c:v>
                </c:pt>
                <c:pt idx="149">
                  <c:v>0.13470207341560814</c:v>
                </c:pt>
                <c:pt idx="150">
                  <c:v>0.13385826771653542</c:v>
                </c:pt>
                <c:pt idx="151">
                  <c:v>0.13302402355512927</c:v>
                </c:pt>
                <c:pt idx="152">
                  <c:v>0.13219917932793612</c:v>
                </c:pt>
                <c:pt idx="153">
                  <c:v>0.13138357705286841</c:v>
                </c:pt>
                <c:pt idx="154">
                  <c:v>0.13057706226833066</c:v>
                </c:pt>
                <c:pt idx="155">
                  <c:v>0.12977948393569916</c:v>
                </c:pt>
                <c:pt idx="156">
                  <c:v>0.12899069434502505</c:v>
                </c:pt>
                <c:pt idx="157">
                  <c:v>0.12821054902383777</c:v>
                </c:pt>
                <c:pt idx="158">
                  <c:v>0.12743890664893046</c:v>
                </c:pt>
                <c:pt idx="159">
                  <c:v>0.12667562896101403</c:v>
                </c:pt>
                <c:pt idx="160">
                  <c:v>0.12592058068213172</c:v>
                </c:pt>
                <c:pt idx="161">
                  <c:v>0.12517362943573074</c:v>
                </c:pt>
                <c:pt idx="162">
                  <c:v>0.12443464566929133</c:v>
                </c:pt>
                <c:pt idx="163">
                  <c:v>0.12370350257941895</c:v>
                </c:pt>
                <c:pt idx="164">
                  <c:v>0.12298007603930775</c:v>
                </c:pt>
                <c:pt idx="165">
                  <c:v>0.12226424452848907</c:v>
                </c:pt>
                <c:pt idx="166">
                  <c:v>0.12155588906478074</c:v>
                </c:pt>
                <c:pt idx="167">
                  <c:v>0.12085489313835771</c:v>
                </c:pt>
                <c:pt idx="168">
                  <c:v>0.12016114264786669</c:v>
                </c:pt>
                <c:pt idx="169">
                  <c:v>0.11947452583851184</c:v>
                </c:pt>
                <c:pt idx="170">
                  <c:v>0.11879493324204039</c:v>
                </c:pt>
                <c:pt idx="171">
                  <c:v>0.11812225761856103</c:v>
                </c:pt>
                <c:pt idx="172">
                  <c:v>0.11745639390012957</c:v>
                </c:pt>
                <c:pt idx="173">
                  <c:v>0.11679723913603998</c:v>
                </c:pt>
                <c:pt idx="174">
                  <c:v>0.1161446924397608</c:v>
                </c:pt>
                <c:pt idx="175">
                  <c:v>0.11549865493745949</c:v>
                </c:pt>
                <c:pt idx="176">
                  <c:v>0.11485902971805945</c:v>
                </c:pt>
                <c:pt idx="177">
                  <c:v>0.11422572178477691</c:v>
                </c:pt>
                <c:pt idx="178">
                  <c:v>0.11359863800808684</c:v>
                </c:pt>
                <c:pt idx="179">
                  <c:v>0.11297768708006853</c:v>
                </c:pt>
                <c:pt idx="180">
                  <c:v>0.1123627794700845</c:v>
                </c:pt>
                <c:pt idx="181">
                  <c:v>0.11175382738174677</c:v>
                </c:pt>
                <c:pt idx="182">
                  <c:v>0.11115074471112796</c:v>
                </c:pt>
                <c:pt idx="183">
                  <c:v>0.11055344700617459</c:v>
                </c:pt>
                <c:pt idx="184">
                  <c:v>0.10996185142728281</c:v>
                </c:pt>
                <c:pt idx="185">
                  <c:v>0.10937587670899807</c:v>
                </c:pt>
                <c:pt idx="186">
                  <c:v>0.10879544312280114</c:v>
                </c:pt>
                <c:pt idx="187">
                  <c:v>0.10822047244094488</c:v>
                </c:pt>
                <c:pt idx="188">
                  <c:v>0.10765088790130742</c:v>
                </c:pt>
                <c:pt idx="189">
                  <c:v>0.10708661417322834</c:v>
                </c:pt>
                <c:pt idx="190">
                  <c:v>0.10652757732429617</c:v>
                </c:pt>
                <c:pt idx="191">
                  <c:v>0.10597370478805623</c:v>
                </c:pt>
                <c:pt idx="192">
                  <c:v>0.10542492533260928</c:v>
                </c:pt>
                <c:pt idx="193">
                  <c:v>0.10488116903007261</c:v>
                </c:pt>
                <c:pt idx="194">
                  <c:v>0.10434236722687569</c:v>
                </c:pt>
                <c:pt idx="195">
                  <c:v>0.10380845251486422</c:v>
                </c:pt>
                <c:pt idx="196">
                  <c:v>0.10327935870318694</c:v>
                </c:pt>
                <c:pt idx="197">
                  <c:v>0.10275502079094045</c:v>
                </c:pt>
                <c:pt idx="198">
                  <c:v>0.10223537494054855</c:v>
                </c:pt>
                <c:pt idx="199">
                  <c:v>0.10172035845185276</c:v>
                </c:pt>
                <c:pt idx="200">
                  <c:v>0.10120990973689264</c:v>
                </c:pt>
                <c:pt idx="201">
                  <c:v>0.1007039682953538</c:v>
                </c:pt>
                <c:pt idx="202">
                  <c:v>0.10020247469066366</c:v>
                </c:pt>
                <c:pt idx="203">
                  <c:v>9.9705370526714798E-2</c:v>
                </c:pt>
                <c:pt idx="204">
                  <c:v>9.9212598425196849E-2</c:v>
                </c:pt>
                <c:pt idx="205">
                  <c:v>9.8724102003518541E-2</c:v>
                </c:pt>
                <c:pt idx="206">
                  <c:v>9.8239825853301821E-2</c:v>
                </c:pt>
                <c:pt idx="207">
                  <c:v>9.7759715519431037E-2</c:v>
                </c:pt>
                <c:pt idx="208">
                  <c:v>9.7283717479640527E-2</c:v>
                </c:pt>
                <c:pt idx="209">
                  <c:v>9.6811779124624353E-2</c:v>
                </c:pt>
                <c:pt idx="210">
                  <c:v>9.6343848738652899E-2</c:v>
                </c:pt>
                <c:pt idx="211">
                  <c:v>9.5879875480681193E-2</c:v>
                </c:pt>
                <c:pt idx="212">
                  <c:v>9.5419809365934527E-2</c:v>
                </c:pt>
                <c:pt idx="213">
                  <c:v>9.4963601247957219E-2</c:v>
                </c:pt>
                <c:pt idx="214">
                  <c:v>9.4511202801111235E-2</c:v>
                </c:pt>
                <c:pt idx="215">
                  <c:v>9.4062566503511386E-2</c:v>
                </c:pt>
                <c:pt idx="216">
                  <c:v>9.361764562038441E-2</c:v>
                </c:pt>
                <c:pt idx="217">
                  <c:v>9.317639418783992E-2</c:v>
                </c:pt>
                <c:pt idx="218">
                  <c:v>9.2738766997041186E-2</c:v>
                </c:pt>
                <c:pt idx="219">
                  <c:v>9.2304719578764308E-2</c:v>
                </c:pt>
                <c:pt idx="220">
                  <c:v>9.1874208188334916E-2</c:v>
                </c:pt>
                <c:pt idx="221">
                  <c:v>9.1447189790931305E-2</c:v>
                </c:pt>
                <c:pt idx="222">
                  <c:v>9.1023622047244096E-2</c:v>
                </c:pt>
                <c:pt idx="223">
                  <c:v>9.0603463299481934E-2</c:v>
                </c:pt>
                <c:pt idx="224">
                  <c:v>9.0186672557713857E-2</c:v>
                </c:pt>
                <c:pt idx="225">
                  <c:v>8.9773209486538733E-2</c:v>
                </c:pt>
                <c:pt idx="226">
                  <c:v>8.9363034392072757E-2</c:v>
                </c:pt>
                <c:pt idx="227">
                  <c:v>8.8956108209246126E-2</c:v>
                </c:pt>
                <c:pt idx="228">
                  <c:v>8.8552392489400361E-2</c:v>
                </c:pt>
                <c:pt idx="229">
                  <c:v>8.8151849388178147E-2</c:v>
                </c:pt>
                <c:pt idx="230">
                  <c:v>8.775444165369739E-2</c:v>
                </c:pt>
                <c:pt idx="231">
                  <c:v>8.736013261500207E-2</c:v>
                </c:pt>
                <c:pt idx="232">
                  <c:v>8.696888617078205E-2</c:v>
                </c:pt>
                <c:pt idx="233">
                  <c:v>8.6580666778354826E-2</c:v>
                </c:pt>
                <c:pt idx="234">
                  <c:v>8.6195439442902005E-2</c:v>
                </c:pt>
                <c:pt idx="235">
                  <c:v>8.5813169706953615E-2</c:v>
                </c:pt>
                <c:pt idx="236">
                  <c:v>8.5433823640113815E-2</c:v>
                </c:pt>
                <c:pt idx="237">
                  <c:v>8.5057367829021374E-2</c:v>
                </c:pt>
                <c:pt idx="238">
                  <c:v>8.4683769367538742E-2</c:v>
                </c:pt>
                <c:pt idx="239">
                  <c:v>8.4312995847163716E-2</c:v>
                </c:pt>
                <c:pt idx="240">
                  <c:v>8.3945015347657817E-2</c:v>
                </c:pt>
                <c:pt idx="241">
                  <c:v>8.3579796427885544E-2</c:v>
                </c:pt>
                <c:pt idx="242">
                  <c:v>8.321730811685922E-2</c:v>
                </c:pt>
                <c:pt idx="243">
                  <c:v>8.2857519904983939E-2</c:v>
                </c:pt>
                <c:pt idx="244">
                  <c:v>8.2500401735497345E-2</c:v>
                </c:pt>
                <c:pt idx="245">
                  <c:v>8.2145923996099379E-2</c:v>
                </c:pt>
                <c:pt idx="246">
                  <c:v>8.179405751076696E-2</c:v>
                </c:pt>
                <c:pt idx="247">
                  <c:v>8.1444773531748893E-2</c:v>
                </c:pt>
                <c:pt idx="248">
                  <c:v>8.1098043731736458E-2</c:v>
                </c:pt>
                <c:pt idx="249">
                  <c:v>8.0753840196204976E-2</c:v>
                </c:pt>
                <c:pt idx="250">
                  <c:v>8.0412135415922376E-2</c:v>
                </c:pt>
                <c:pt idx="251">
                  <c:v>8.0072902279620106E-2</c:v>
                </c:pt>
                <c:pt idx="252">
                  <c:v>7.9736114066822725E-2</c:v>
                </c:pt>
                <c:pt idx="253">
                  <c:v>7.9401744440831784E-2</c:v>
                </c:pt>
                <c:pt idx="254">
                  <c:v>7.9069767441860464E-2</c:v>
                </c:pt>
                <c:pt idx="255">
                  <c:v>7.874015748031496E-2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55-4F1E-B7B4-6EB4D16AF865}"/>
            </c:ext>
          </c:extLst>
        </c:ser>
        <c:ser>
          <c:idx val="0"/>
          <c:order val="3"/>
          <c:tx>
            <c:v>Old Scan Driver</c:v>
          </c:tx>
          <c:marker>
            <c:symbol val="none"/>
          </c:marker>
          <c:val>
            <c:numRef>
              <c:f>Tabelle1!$F$4:$F$259</c:f>
              <c:numCache>
                <c:formatCode>General</c:formatCode>
                <c:ptCount val="256"/>
                <c:pt idx="0">
                  <c:v>1</c:v>
                </c:pt>
                <c:pt idx="1">
                  <c:v>0.97</c:v>
                </c:pt>
                <c:pt idx="2">
                  <c:v>0.94089999999999996</c:v>
                </c:pt>
                <c:pt idx="3">
                  <c:v>0.91267299999999996</c:v>
                </c:pt>
                <c:pt idx="4">
                  <c:v>0.88529280999999993</c:v>
                </c:pt>
                <c:pt idx="5">
                  <c:v>0.8587340256999999</c:v>
                </c:pt>
                <c:pt idx="6">
                  <c:v>0.83297200492899992</c:v>
                </c:pt>
                <c:pt idx="7">
                  <c:v>0.80798284478112992</c:v>
                </c:pt>
                <c:pt idx="8">
                  <c:v>0.78374335943769602</c:v>
                </c:pt>
                <c:pt idx="9">
                  <c:v>0.76023105865456508</c:v>
                </c:pt>
                <c:pt idx="10">
                  <c:v>0.73742412689492809</c:v>
                </c:pt>
                <c:pt idx="11">
                  <c:v>0.71530140308808021</c:v>
                </c:pt>
                <c:pt idx="12">
                  <c:v>0.69384236099543783</c:v>
                </c:pt>
                <c:pt idx="13">
                  <c:v>0.67302709016557472</c:v>
                </c:pt>
                <c:pt idx="14">
                  <c:v>0.65283627746060746</c:v>
                </c:pt>
                <c:pt idx="15">
                  <c:v>0.63325118913678924</c:v>
                </c:pt>
                <c:pt idx="16">
                  <c:v>0.61425365346268557</c:v>
                </c:pt>
                <c:pt idx="17">
                  <c:v>0.595826043858805</c:v>
                </c:pt>
                <c:pt idx="18">
                  <c:v>0.57795126254304086</c:v>
                </c:pt>
                <c:pt idx="19">
                  <c:v>0.56061272466674961</c:v>
                </c:pt>
                <c:pt idx="20">
                  <c:v>0.54379434292674711</c:v>
                </c:pt>
                <c:pt idx="21">
                  <c:v>0.52748051263894469</c:v>
                </c:pt>
                <c:pt idx="22">
                  <c:v>0.51165609725977634</c:v>
                </c:pt>
                <c:pt idx="23">
                  <c:v>0.49630641434198308</c:v>
                </c:pt>
                <c:pt idx="24">
                  <c:v>0.48141722191172359</c:v>
                </c:pt>
                <c:pt idx="25">
                  <c:v>0.4669747052543719</c:v>
                </c:pt>
                <c:pt idx="26">
                  <c:v>0.45296546409674077</c:v>
                </c:pt>
                <c:pt idx="27">
                  <c:v>0.43937650017383856</c:v>
                </c:pt>
                <c:pt idx="28">
                  <c:v>0.42619520516862341</c:v>
                </c:pt>
                <c:pt idx="29">
                  <c:v>0.41340934901356469</c:v>
                </c:pt>
                <c:pt idx="30">
                  <c:v>0.40100706854315776</c:v>
                </c:pt>
                <c:pt idx="31">
                  <c:v>0.38897685648686303</c:v>
                </c:pt>
                <c:pt idx="32">
                  <c:v>0.37730755079225714</c:v>
                </c:pt>
                <c:pt idx="33">
                  <c:v>0.36598832426848943</c:v>
                </c:pt>
                <c:pt idx="34">
                  <c:v>0.35500867454043472</c:v>
                </c:pt>
                <c:pt idx="35">
                  <c:v>0.3443584143042217</c:v>
                </c:pt>
                <c:pt idx="36">
                  <c:v>0.33402766187509503</c:v>
                </c:pt>
                <c:pt idx="37">
                  <c:v>0.32400683201884217</c:v>
                </c:pt>
                <c:pt idx="38">
                  <c:v>0.31428662705827692</c:v>
                </c:pt>
                <c:pt idx="39">
                  <c:v>0.30485802824652863</c:v>
                </c:pt>
                <c:pt idx="40">
                  <c:v>0.2957122873991328</c:v>
                </c:pt>
                <c:pt idx="41">
                  <c:v>0.28684091877715884</c:v>
                </c:pt>
                <c:pt idx="42">
                  <c:v>0.27823569121384406</c:v>
                </c:pt>
                <c:pt idx="43">
                  <c:v>0.26988862047742873</c:v>
                </c:pt>
                <c:pt idx="44">
                  <c:v>0.26179196186310588</c:v>
                </c:pt>
                <c:pt idx="45">
                  <c:v>0.2539382030072127</c:v>
                </c:pt>
                <c:pt idx="46">
                  <c:v>0.24632005691699632</c:v>
                </c:pt>
                <c:pt idx="47">
                  <c:v>0.23893045520948644</c:v>
                </c:pt>
                <c:pt idx="48">
                  <c:v>0.23176254155320186</c:v>
                </c:pt>
                <c:pt idx="49">
                  <c:v>0.22480966530660582</c:v>
                </c:pt>
                <c:pt idx="50">
                  <c:v>0.21806537534740764</c:v>
                </c:pt>
                <c:pt idx="51">
                  <c:v>0.21152341408698541</c:v>
                </c:pt>
                <c:pt idx="52">
                  <c:v>0.20517771166437584</c:v>
                </c:pt>
                <c:pt idx="53">
                  <c:v>0.19902238031444458</c:v>
                </c:pt>
                <c:pt idx="54">
                  <c:v>0.19305170890501125</c:v>
                </c:pt>
                <c:pt idx="55">
                  <c:v>0.18726015763786091</c:v>
                </c:pt>
                <c:pt idx="56">
                  <c:v>0.18164235290872507</c:v>
                </c:pt>
                <c:pt idx="57">
                  <c:v>0.17619308232146333</c:v>
                </c:pt>
                <c:pt idx="58">
                  <c:v>0.17090728985181944</c:v>
                </c:pt>
                <c:pt idx="59">
                  <c:v>0.16578007115626486</c:v>
                </c:pt>
                <c:pt idx="60">
                  <c:v>0.16080666902157692</c:v>
                </c:pt>
                <c:pt idx="61">
                  <c:v>0.15598246895092963</c:v>
                </c:pt>
                <c:pt idx="62">
                  <c:v>0.15130299488240173</c:v>
                </c:pt>
                <c:pt idx="63">
                  <c:v>0.14676390503592968</c:v>
                </c:pt>
                <c:pt idx="64">
                  <c:v>0.1423609878848518</c:v>
                </c:pt>
                <c:pt idx="65">
                  <c:v>0.13809015824830626</c:v>
                </c:pt>
                <c:pt idx="66">
                  <c:v>0.13394745350085707</c:v>
                </c:pt>
                <c:pt idx="67">
                  <c:v>0.12992902989583135</c:v>
                </c:pt>
                <c:pt idx="68">
                  <c:v>0.12603115899895642</c:v>
                </c:pt>
                <c:pt idx="69">
                  <c:v>0.12225022422898774</c:v>
                </c:pt>
                <c:pt idx="70">
                  <c:v>0.1185827175021181</c:v>
                </c:pt>
                <c:pt idx="71">
                  <c:v>0.11502523597705455</c:v>
                </c:pt>
                <c:pt idx="72">
                  <c:v>0.11157447889774291</c:v>
                </c:pt>
                <c:pt idx="73">
                  <c:v>0.10822724453081063</c:v>
                </c:pt>
                <c:pt idx="74">
                  <c:v>0.10498042719488632</c:v>
                </c:pt>
                <c:pt idx="75">
                  <c:v>0.10183101437903973</c:v>
                </c:pt>
                <c:pt idx="76">
                  <c:v>9.8776083947668541E-2</c:v>
                </c:pt>
                <c:pt idx="77">
                  <c:v>9.5812801429238481E-2</c:v>
                </c:pt>
                <c:pt idx="78">
                  <c:v>9.2938417386361327E-2</c:v>
                </c:pt>
                <c:pt idx="79">
                  <c:v>9.0150264864770485E-2</c:v>
                </c:pt>
                <c:pt idx="80">
                  <c:v>8.7445756918827375E-2</c:v>
                </c:pt>
                <c:pt idx="81">
                  <c:v>8.482238421126255E-2</c:v>
                </c:pt>
                <c:pt idx="82">
                  <c:v>8.2277712684924675E-2</c:v>
                </c:pt>
                <c:pt idx="83">
                  <c:v>7.9809381304376939E-2</c:v>
                </c:pt>
                <c:pt idx="84">
                  <c:v>7.7415099865245626E-2</c:v>
                </c:pt>
                <c:pt idx="85">
                  <c:v>7.5092646869288251E-2</c:v>
                </c:pt>
                <c:pt idx="86">
                  <c:v>7.2839867463209598E-2</c:v>
                </c:pt>
                <c:pt idx="87">
                  <c:v>7.065467143931331E-2</c:v>
                </c:pt>
                <c:pt idx="88">
                  <c:v>6.8535031296133905E-2</c:v>
                </c:pt>
                <c:pt idx="89">
                  <c:v>6.6478980357249889E-2</c:v>
                </c:pt>
                <c:pt idx="90">
                  <c:v>6.4484610946532392E-2</c:v>
                </c:pt>
                <c:pt idx="91">
                  <c:v>6.2550072618136415E-2</c:v>
                </c:pt>
                <c:pt idx="92">
                  <c:v>6.0673570439592324E-2</c:v>
                </c:pt>
                <c:pt idx="93">
                  <c:v>5.8853363326404555E-2</c:v>
                </c:pt>
                <c:pt idx="94">
                  <c:v>5.7087762426612419E-2</c:v>
                </c:pt>
                <c:pt idx="95">
                  <c:v>5.5375129553814045E-2</c:v>
                </c:pt>
                <c:pt idx="96">
                  <c:v>5.3713875667199623E-2</c:v>
                </c:pt>
                <c:pt idx="97">
                  <c:v>5.2102459397183637E-2</c:v>
                </c:pt>
                <c:pt idx="98">
                  <c:v>5.0539385615268127E-2</c:v>
                </c:pt>
                <c:pt idx="99">
                  <c:v>4.9023204046810084E-2</c:v>
                </c:pt>
                <c:pt idx="100">
                  <c:v>4.7552507925405781E-2</c:v>
                </c:pt>
                <c:pt idx="101">
                  <c:v>4.612593268764361E-2</c:v>
                </c:pt>
                <c:pt idx="102">
                  <c:v>4.4742154707014301E-2</c:v>
                </c:pt>
                <c:pt idx="103">
                  <c:v>4.3399890065803873E-2</c:v>
                </c:pt>
                <c:pt idx="104">
                  <c:v>4.2097893363829755E-2</c:v>
                </c:pt>
                <c:pt idx="105">
                  <c:v>4.0834956562914859E-2</c:v>
                </c:pt>
                <c:pt idx="106">
                  <c:v>3.9609907866027416E-2</c:v>
                </c:pt>
                <c:pt idx="107">
                  <c:v>3.8421610630046593E-2</c:v>
                </c:pt>
                <c:pt idx="108">
                  <c:v>3.7268962311145196E-2</c:v>
                </c:pt>
                <c:pt idx="109">
                  <c:v>3.6150893441810841E-2</c:v>
                </c:pt>
                <c:pt idx="110">
                  <c:v>3.5066366638556515E-2</c:v>
                </c:pt>
                <c:pt idx="111">
                  <c:v>3.4014375639399817E-2</c:v>
                </c:pt>
                <c:pt idx="112">
                  <c:v>3.2993944370217826E-2</c:v>
                </c:pt>
                <c:pt idx="113">
                  <c:v>3.2004126039111291E-2</c:v>
                </c:pt>
                <c:pt idx="114">
                  <c:v>3.1044002257937953E-2</c:v>
                </c:pt>
                <c:pt idx="115">
                  <c:v>3.0112682190199816E-2</c:v>
                </c:pt>
                <c:pt idx="116">
                  <c:v>2.9209301724493823E-2</c:v>
                </c:pt>
                <c:pt idx="117">
                  <c:v>2.8333022672759008E-2</c:v>
                </c:pt>
                <c:pt idx="118">
                  <c:v>2.7483031992576238E-2</c:v>
                </c:pt>
                <c:pt idx="119">
                  <c:v>2.6658541032798952E-2</c:v>
                </c:pt>
                <c:pt idx="120">
                  <c:v>2.5858784801814985E-2</c:v>
                </c:pt>
                <c:pt idx="121">
                  <c:v>2.5083021257760536E-2</c:v>
                </c:pt>
                <c:pt idx="122">
                  <c:v>2.433053062002772E-2</c:v>
                </c:pt>
                <c:pt idx="123">
                  <c:v>2.3600614701426888E-2</c:v>
                </c:pt>
                <c:pt idx="124">
                  <c:v>2.289259626038408E-2</c:v>
                </c:pt>
                <c:pt idx="125">
                  <c:v>2.2205818372572558E-2</c:v>
                </c:pt>
                <c:pt idx="126">
                  <c:v>2.1539643821395383E-2</c:v>
                </c:pt>
                <c:pt idx="127">
                  <c:v>2.089345450675352E-2</c:v>
                </c:pt>
                <c:pt idx="128">
                  <c:v>2.0266650871550915E-2</c:v>
                </c:pt>
                <c:pt idx="129">
                  <c:v>1.9658651345404388E-2</c:v>
                </c:pt>
                <c:pt idx="130">
                  <c:v>1.9068891805042256E-2</c:v>
                </c:pt>
                <c:pt idx="131">
                  <c:v>1.8496825050890987E-2</c:v>
                </c:pt>
                <c:pt idx="132">
                  <c:v>1.7941920299364259E-2</c:v>
                </c:pt>
                <c:pt idx="133">
                  <c:v>1.7403662690383331E-2</c:v>
                </c:pt>
                <c:pt idx="134">
                  <c:v>1.6881552809671831E-2</c:v>
                </c:pt>
                <c:pt idx="135">
                  <c:v>1.6375106225381676E-2</c:v>
                </c:pt>
                <c:pt idx="136">
                  <c:v>1.5883853038620225E-2</c:v>
                </c:pt>
                <c:pt idx="137">
                  <c:v>1.5407337447461618E-2</c:v>
                </c:pt>
                <c:pt idx="138">
                  <c:v>1.494511732403777E-2</c:v>
                </c:pt>
                <c:pt idx="139">
                  <c:v>1.4496763804316637E-2</c:v>
                </c:pt>
                <c:pt idx="140">
                  <c:v>1.4061860890187138E-2</c:v>
                </c:pt>
                <c:pt idx="141">
                  <c:v>1.3640005063481524E-2</c:v>
                </c:pt>
                <c:pt idx="142">
                  <c:v>1.3230804911577078E-2</c:v>
                </c:pt>
                <c:pt idx="143">
                  <c:v>1.2833880764229765E-2</c:v>
                </c:pt>
                <c:pt idx="144">
                  <c:v>1.2448864341302872E-2</c:v>
                </c:pt>
                <c:pt idx="145">
                  <c:v>1.2075398411063787E-2</c:v>
                </c:pt>
                <c:pt idx="146">
                  <c:v>1.1713136458731873E-2</c:v>
                </c:pt>
                <c:pt idx="147">
                  <c:v>1.1361742364969916E-2</c:v>
                </c:pt>
                <c:pt idx="148">
                  <c:v>1.1020890094020819E-2</c:v>
                </c:pt>
                <c:pt idx="149">
                  <c:v>1.0690263391200194E-2</c:v>
                </c:pt>
                <c:pt idx="150">
                  <c:v>1.0369555489464189E-2</c:v>
                </c:pt>
                <c:pt idx="151">
                  <c:v>1.0058468824780262E-2</c:v>
                </c:pt>
                <c:pt idx="152">
                  <c:v>9.7567147600368543E-3</c:v>
                </c:pt>
                <c:pt idx="153">
                  <c:v>9.4640133172357484E-3</c:v>
                </c:pt>
                <c:pt idx="154">
                  <c:v>9.1800929177186762E-3</c:v>
                </c:pt>
                <c:pt idx="155">
                  <c:v>8.9046901301871161E-3</c:v>
                </c:pt>
                <c:pt idx="156">
                  <c:v>8.6375494262815027E-3</c:v>
                </c:pt>
                <c:pt idx="157">
                  <c:v>8.3784229434930579E-3</c:v>
                </c:pt>
                <c:pt idx="158">
                  <c:v>8.1270702551882665E-3</c:v>
                </c:pt>
                <c:pt idx="159">
                  <c:v>7.8832581475326187E-3</c:v>
                </c:pt>
                <c:pt idx="160">
                  <c:v>7.6467604031066399E-3</c:v>
                </c:pt>
                <c:pt idx="161">
                  <c:v>7.4173575910134407E-3</c:v>
                </c:pt>
                <c:pt idx="162">
                  <c:v>7.1948368632830375E-3</c:v>
                </c:pt>
                <c:pt idx="163">
                  <c:v>6.9789917573845461E-3</c:v>
                </c:pt>
                <c:pt idx="164">
                  <c:v>6.7696220046630099E-3</c:v>
                </c:pt>
                <c:pt idx="165">
                  <c:v>6.5665333445231195E-3</c:v>
                </c:pt>
                <c:pt idx="166">
                  <c:v>6.3695373441874257E-3</c:v>
                </c:pt>
                <c:pt idx="167">
                  <c:v>6.178451223861803E-3</c:v>
                </c:pt>
                <c:pt idx="168">
                  <c:v>5.9930976871459488E-3</c:v>
                </c:pt>
                <c:pt idx="169">
                  <c:v>5.8133047565315701E-3</c:v>
                </c:pt>
                <c:pt idx="170">
                  <c:v>5.6389056138356226E-3</c:v>
                </c:pt>
                <c:pt idx="171">
                  <c:v>5.4697384454205538E-3</c:v>
                </c:pt>
                <c:pt idx="172">
                  <c:v>5.3056462920579375E-3</c:v>
                </c:pt>
                <c:pt idx="173">
                  <c:v>5.1464769032961996E-3</c:v>
                </c:pt>
                <c:pt idx="174">
                  <c:v>4.9920825961973139E-3</c:v>
                </c:pt>
                <c:pt idx="175">
                  <c:v>4.8423201183113943E-3</c:v>
                </c:pt>
                <c:pt idx="176">
                  <c:v>4.6970505147620528E-3</c:v>
                </c:pt>
                <c:pt idx="177">
                  <c:v>4.5561389993191911E-3</c:v>
                </c:pt>
                <c:pt idx="178">
                  <c:v>4.4194548293396158E-3</c:v>
                </c:pt>
                <c:pt idx="179">
                  <c:v>4.2868711844594272E-3</c:v>
                </c:pt>
                <c:pt idx="180">
                  <c:v>4.1582650489256443E-3</c:v>
                </c:pt>
                <c:pt idx="181">
                  <c:v>4.0335170974578746E-3</c:v>
                </c:pt>
                <c:pt idx="182">
                  <c:v>3.9125115845341386E-3</c:v>
                </c:pt>
                <c:pt idx="183">
                  <c:v>3.7951362369981144E-3</c:v>
                </c:pt>
                <c:pt idx="184">
                  <c:v>3.681282149888171E-3</c:v>
                </c:pt>
                <c:pt idx="185">
                  <c:v>3.5708436853915258E-3</c:v>
                </c:pt>
                <c:pt idx="186">
                  <c:v>3.4637183748297802E-3</c:v>
                </c:pt>
                <c:pt idx="187">
                  <c:v>3.3598068235848868E-3</c:v>
                </c:pt>
                <c:pt idx="188">
                  <c:v>3.2590126188773404E-3</c:v>
                </c:pt>
                <c:pt idx="189">
                  <c:v>3.1612422403110201E-3</c:v>
                </c:pt>
                <c:pt idx="190">
                  <c:v>3.0664049731016895E-3</c:v>
                </c:pt>
                <c:pt idx="191">
                  <c:v>2.9744128239086389E-3</c:v>
                </c:pt>
                <c:pt idx="192">
                  <c:v>2.8851804391913797E-3</c:v>
                </c:pt>
                <c:pt idx="193">
                  <c:v>2.7986250260156383E-3</c:v>
                </c:pt>
                <c:pt idx="194">
                  <c:v>2.714666275235169E-3</c:v>
                </c:pt>
                <c:pt idx="195">
                  <c:v>2.6332262869781138E-3</c:v>
                </c:pt>
                <c:pt idx="196">
                  <c:v>2.5542294983687706E-3</c:v>
                </c:pt>
                <c:pt idx="197">
                  <c:v>2.4776026134177074E-3</c:v>
                </c:pt>
                <c:pt idx="198">
                  <c:v>2.4032745350151762E-3</c:v>
                </c:pt>
                <c:pt idx="199">
                  <c:v>2.3311762989647209E-3</c:v>
                </c:pt>
                <c:pt idx="200">
                  <c:v>2.2612410099957791E-3</c:v>
                </c:pt>
                <c:pt idx="201">
                  <c:v>2.1934037796959059E-3</c:v>
                </c:pt>
                <c:pt idx="202">
                  <c:v>2.1276016663050287E-3</c:v>
                </c:pt>
                <c:pt idx="203">
                  <c:v>2.0637736163158778E-3</c:v>
                </c:pt>
                <c:pt idx="204">
                  <c:v>2.0018604078264014E-3</c:v>
                </c:pt>
                <c:pt idx="205">
                  <c:v>1.9418045955916093E-3</c:v>
                </c:pt>
                <c:pt idx="206">
                  <c:v>1.8835504577238611E-3</c:v>
                </c:pt>
                <c:pt idx="207">
                  <c:v>1.8270439439921453E-3</c:v>
                </c:pt>
                <c:pt idx="208">
                  <c:v>1.772232625672381E-3</c:v>
                </c:pt>
                <c:pt idx="209">
                  <c:v>1.7190656469022096E-3</c:v>
                </c:pt>
                <c:pt idx="210">
                  <c:v>1.6674936774951432E-3</c:v>
                </c:pt>
                <c:pt idx="211">
                  <c:v>1.6174688671702889E-3</c:v>
                </c:pt>
                <c:pt idx="212">
                  <c:v>1.5689448011551802E-3</c:v>
                </c:pt>
                <c:pt idx="213">
                  <c:v>1.5218764571205249E-3</c:v>
                </c:pt>
                <c:pt idx="214">
                  <c:v>1.4762201634069092E-3</c:v>
                </c:pt>
                <c:pt idx="215">
                  <c:v>1.4319335585047019E-3</c:v>
                </c:pt>
                <c:pt idx="216">
                  <c:v>1.3889755517495609E-3</c:v>
                </c:pt>
                <c:pt idx="217">
                  <c:v>1.3473062851970742E-3</c:v>
                </c:pt>
                <c:pt idx="218">
                  <c:v>1.3068870966411619E-3</c:v>
                </c:pt>
                <c:pt idx="219">
                  <c:v>1.2676804837419271E-3</c:v>
                </c:pt>
                <c:pt idx="220">
                  <c:v>1.2296500692296694E-3</c:v>
                </c:pt>
                <c:pt idx="221">
                  <c:v>1.1927605671527793E-3</c:v>
                </c:pt>
                <c:pt idx="222">
                  <c:v>1.1569777501381959E-3</c:v>
                </c:pt>
                <c:pt idx="223">
                  <c:v>1.12226841763405E-3</c:v>
                </c:pt>
                <c:pt idx="224">
                  <c:v>1.0886003651050286E-3</c:v>
                </c:pt>
                <c:pt idx="225">
                  <c:v>1.0559423541518778E-3</c:v>
                </c:pt>
                <c:pt idx="226">
                  <c:v>1.0242640835273216E-3</c:v>
                </c:pt>
                <c:pt idx="227">
                  <c:v>9.9353616102150185E-4</c:v>
                </c:pt>
                <c:pt idx="228">
                  <c:v>9.6373007619085678E-4</c:v>
                </c:pt>
                <c:pt idx="229">
                  <c:v>9.3481817390513109E-4</c:v>
                </c:pt>
                <c:pt idx="230">
                  <c:v>9.0677362868797715E-4</c:v>
                </c:pt>
                <c:pt idx="231">
                  <c:v>8.7957041982733781E-4</c:v>
                </c:pt>
                <c:pt idx="232">
                  <c:v>8.5318330723251773E-4</c:v>
                </c:pt>
                <c:pt idx="233">
                  <c:v>8.2758780801554224E-4</c:v>
                </c:pt>
                <c:pt idx="234">
                  <c:v>8.0276017377507594E-4</c:v>
                </c:pt>
                <c:pt idx="235">
                  <c:v>7.7867736856182372E-4</c:v>
                </c:pt>
                <c:pt idx="236">
                  <c:v>7.5531704750496896E-4</c:v>
                </c:pt>
                <c:pt idx="237">
                  <c:v>7.3265753607981991E-4</c:v>
                </c:pt>
                <c:pt idx="238">
                  <c:v>7.1067780999742531E-4</c:v>
                </c:pt>
                <c:pt idx="239">
                  <c:v>6.8935747569750258E-4</c:v>
                </c:pt>
                <c:pt idx="240">
                  <c:v>6.6867675142657753E-4</c:v>
                </c:pt>
                <c:pt idx="241">
                  <c:v>6.4861644888378016E-4</c:v>
                </c:pt>
                <c:pt idx="242">
                  <c:v>6.2915795541726677E-4</c:v>
                </c:pt>
                <c:pt idx="243">
                  <c:v>6.1028321675474879E-4</c:v>
                </c:pt>
                <c:pt idx="244">
                  <c:v>5.9197472025210632E-4</c:v>
                </c:pt>
                <c:pt idx="245">
                  <c:v>5.7421547864454315E-4</c:v>
                </c:pt>
                <c:pt idx="246">
                  <c:v>5.5698901428520684E-4</c:v>
                </c:pt>
                <c:pt idx="247">
                  <c:v>5.4027934385665068E-4</c:v>
                </c:pt>
                <c:pt idx="248">
                  <c:v>5.240709635409512E-4</c:v>
                </c:pt>
                <c:pt idx="249">
                  <c:v>5.0834883463472271E-4</c:v>
                </c:pt>
                <c:pt idx="250">
                  <c:v>4.9309836959568107E-4</c:v>
                </c:pt>
                <c:pt idx="251">
                  <c:v>4.7830541850781065E-4</c:v>
                </c:pt>
                <c:pt idx="252">
                  <c:v>4.6395625595257631E-4</c:v>
                </c:pt>
                <c:pt idx="253">
                  <c:v>4.5003756827399901E-4</c:v>
                </c:pt>
                <c:pt idx="254">
                  <c:v>4.3653644122577907E-4</c:v>
                </c:pt>
                <c:pt idx="255">
                  <c:v>4.2344034798900569E-4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4F-45AC-BCA2-D0D414BC6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7040672"/>
        <c:axId val="1"/>
      </c:lineChart>
      <c:catAx>
        <c:axId val="2570406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257040672"/>
        <c:crosses val="autoZero"/>
        <c:crossBetween val="between"/>
      </c:valAx>
      <c:spPr>
        <a:solidFill>
          <a:schemeClr val="bg1">
            <a:lumMod val="85000"/>
          </a:schemeClr>
        </a:solidFill>
        <a:ln w="12700">
          <a:solidFill>
            <a:schemeClr val="tx1">
              <a:lumMod val="95000"/>
              <a:lumOff val="5000"/>
            </a:schemeClr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81370885850234165"/>
          <c:y val="0.43921650970099324"/>
          <c:w val="0.13668180246367692"/>
          <c:h val="0.1624825145444390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352425</xdr:colOff>
      <xdr:row>10</xdr:row>
      <xdr:rowOff>19050</xdr:rowOff>
    </xdr:from>
    <xdr:to>
      <xdr:col>20</xdr:col>
      <xdr:colOff>28575</xdr:colOff>
      <xdr:row>41</xdr:row>
      <xdr:rowOff>57150</xdr:rowOff>
    </xdr:to>
    <xdr:graphicFrame macro="">
      <xdr:nvGraphicFramePr>
        <xdr:cNvPr id="1041" name="Diagramm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1"/>
  <sheetViews>
    <sheetView tabSelected="1" workbookViewId="0">
      <selection activeCell="F4" sqref="F4"/>
    </sheetView>
  </sheetViews>
  <sheetFormatPr baseColWidth="10" defaultRowHeight="12.75" x14ac:dyDescent="0.2"/>
  <cols>
    <col min="1" max="3" width="11.42578125" style="2"/>
    <col min="4" max="4" width="11.42578125" style="3"/>
    <col min="5" max="7" width="11.42578125" style="2"/>
    <col min="8" max="8" width="11.85546875" style="2" customWidth="1"/>
    <col min="9" max="16384" width="11.42578125" style="2"/>
  </cols>
  <sheetData>
    <row r="1" spans="1:10" ht="20.25" customHeight="1" x14ac:dyDescent="0.2">
      <c r="A1" s="1" t="s">
        <v>11</v>
      </c>
    </row>
    <row r="2" spans="1:10" x14ac:dyDescent="0.2">
      <c r="A2" s="1" t="s">
        <v>3</v>
      </c>
      <c r="B2" s="4" t="s">
        <v>0</v>
      </c>
      <c r="C2" s="10" t="s">
        <v>6</v>
      </c>
      <c r="D2" s="3" t="s">
        <v>5</v>
      </c>
      <c r="E2" s="1" t="s">
        <v>4</v>
      </c>
      <c r="F2" s="5" t="s">
        <v>12</v>
      </c>
      <c r="G2" s="5"/>
      <c r="H2" s="7" t="s">
        <v>7</v>
      </c>
      <c r="I2" s="13"/>
    </row>
    <row r="3" spans="1:10" x14ac:dyDescent="0.2">
      <c r="A3" s="1">
        <v>0</v>
      </c>
      <c r="B3" s="4">
        <f>A3/255</f>
        <v>0</v>
      </c>
      <c r="C3" s="6">
        <f>$I$7*B3/((1+$I$7)-B3)</f>
        <v>0</v>
      </c>
      <c r="D3" s="3">
        <f>C3*(1-$I$6) + $I$6</f>
        <v>7.874015748031496E-2</v>
      </c>
      <c r="E3" s="2">
        <f>ROUND(D3*127,0)</f>
        <v>10</v>
      </c>
      <c r="F3" s="5"/>
      <c r="G3" s="5"/>
      <c r="H3" s="7" t="s">
        <v>2</v>
      </c>
      <c r="I3" s="13">
        <v>10</v>
      </c>
    </row>
    <row r="4" spans="1:10" x14ac:dyDescent="0.2">
      <c r="A4" s="2">
        <v>255</v>
      </c>
      <c r="B4" s="4">
        <f>A4/255</f>
        <v>1</v>
      </c>
      <c r="C4" s="6">
        <f>$I$7*B4/((1+$I$7)-B4)</f>
        <v>0.99999999999999911</v>
      </c>
      <c r="D4" s="3">
        <f>C4*(1-$I$6) + $I$6</f>
        <v>0.99999999999999922</v>
      </c>
      <c r="E4" s="2">
        <f>ROUND(D4*127,0)</f>
        <v>127</v>
      </c>
      <c r="F4" s="2">
        <v>1</v>
      </c>
      <c r="H4" s="9" t="s">
        <v>1</v>
      </c>
      <c r="I4" s="13">
        <v>10</v>
      </c>
      <c r="J4" s="4" t="s">
        <v>9</v>
      </c>
    </row>
    <row r="5" spans="1:10" x14ac:dyDescent="0.2">
      <c r="A5" s="2">
        <v>254</v>
      </c>
      <c r="B5" s="4">
        <f t="shared" ref="B5:B68" si="0">A5/255</f>
        <v>0.99607843137254903</v>
      </c>
      <c r="C5" s="6">
        <f>$I$7*B5/((1+$I$7)-B5)</f>
        <v>0.95849056603773519</v>
      </c>
      <c r="D5" s="3">
        <f>C5*(1-$I$6) + $I$6</f>
        <v>0.9617590254048427</v>
      </c>
      <c r="E5" s="2">
        <f t="shared" ref="E5:E68" si="1">ROUND(D5*127,0)</f>
        <v>122</v>
      </c>
      <c r="F5" s="2">
        <f>F4-F4*$I$5</f>
        <v>0.97</v>
      </c>
      <c r="H5" s="2" t="s">
        <v>13</v>
      </c>
      <c r="I5" s="2">
        <v>0.03</v>
      </c>
      <c r="J5" s="2" t="s">
        <v>14</v>
      </c>
    </row>
    <row r="6" spans="1:10" x14ac:dyDescent="0.2">
      <c r="A6" s="2">
        <v>253</v>
      </c>
      <c r="B6" s="4">
        <f t="shared" si="0"/>
        <v>0.99215686274509807</v>
      </c>
      <c r="C6" s="6">
        <f>$I$7*B6/((1+$I$7)-B6)</f>
        <v>0.9199999999999996</v>
      </c>
      <c r="D6" s="3">
        <f>C6*(1-$I$6) + $I$6</f>
        <v>0.92629921259842485</v>
      </c>
      <c r="E6" s="2">
        <f t="shared" si="1"/>
        <v>118</v>
      </c>
      <c r="F6" s="2">
        <f t="shared" ref="F6:F69" si="2">F5-F5*$I$5</f>
        <v>0.94089999999999996</v>
      </c>
      <c r="H6" s="12" t="s">
        <v>10</v>
      </c>
      <c r="I6" s="12">
        <f>I3/127</f>
        <v>7.874015748031496E-2</v>
      </c>
    </row>
    <row r="7" spans="1:10" x14ac:dyDescent="0.2">
      <c r="A7" s="2">
        <v>252</v>
      </c>
      <c r="B7" s="4">
        <f t="shared" si="0"/>
        <v>0.9882352941176471</v>
      </c>
      <c r="C7" s="6">
        <f>$I$7*B7/((1+$I$7)-B7)</f>
        <v>0.88421052631578911</v>
      </c>
      <c r="D7" s="3">
        <f>C7*(1-$I$6) + $I$6</f>
        <v>0.89332780770824671</v>
      </c>
      <c r="E7" s="2">
        <f t="shared" si="1"/>
        <v>113</v>
      </c>
      <c r="F7" s="2">
        <f t="shared" si="2"/>
        <v>0.91267299999999996</v>
      </c>
      <c r="H7" s="11" t="s">
        <v>8</v>
      </c>
      <c r="I7" s="12">
        <f>1/I4</f>
        <v>0.1</v>
      </c>
    </row>
    <row r="8" spans="1:10" x14ac:dyDescent="0.2">
      <c r="A8" s="2">
        <v>251</v>
      </c>
      <c r="B8" s="4">
        <f t="shared" si="0"/>
        <v>0.98431372549019602</v>
      </c>
      <c r="C8" s="6">
        <f>$I$7*B8/((1+$I$7)-B8)</f>
        <v>0.85084745762711755</v>
      </c>
      <c r="D8" s="3">
        <f>C8*(1-$I$6) + $I$6</f>
        <v>0.86259175230214769</v>
      </c>
      <c r="E8" s="2">
        <f t="shared" si="1"/>
        <v>110</v>
      </c>
      <c r="F8" s="2">
        <f t="shared" si="2"/>
        <v>0.88529280999999993</v>
      </c>
    </row>
    <row r="9" spans="1:10" x14ac:dyDescent="0.2">
      <c r="A9" s="2">
        <v>250</v>
      </c>
      <c r="B9" s="4">
        <f t="shared" si="0"/>
        <v>0.98039215686274506</v>
      </c>
      <c r="C9" s="6">
        <f>$I$7*B9/((1+$I$7)-B9)</f>
        <v>0.81967213114754012</v>
      </c>
      <c r="D9" s="3">
        <f>C9*(1-$I$6) + $I$6</f>
        <v>0.83387117593907234</v>
      </c>
      <c r="E9" s="2">
        <f t="shared" si="1"/>
        <v>106</v>
      </c>
      <c r="F9" s="2">
        <f t="shared" si="2"/>
        <v>0.8587340256999999</v>
      </c>
    </row>
    <row r="10" spans="1:10" x14ac:dyDescent="0.2">
      <c r="A10" s="2">
        <v>249</v>
      </c>
      <c r="B10" s="4">
        <f t="shared" si="0"/>
        <v>0.97647058823529409</v>
      </c>
      <c r="C10" s="6">
        <f>$I$7*B10/((1+$I$7)-B10)</f>
        <v>0.79047619047618978</v>
      </c>
      <c r="D10" s="3">
        <f>C10*(1-$I$6) + $I$6</f>
        <v>0.80697412823397008</v>
      </c>
      <c r="E10" s="2">
        <f t="shared" si="1"/>
        <v>102</v>
      </c>
      <c r="F10" s="2">
        <f t="shared" si="2"/>
        <v>0.83297200492899992</v>
      </c>
    </row>
    <row r="11" spans="1:10" x14ac:dyDescent="0.2">
      <c r="A11" s="2">
        <v>248</v>
      </c>
      <c r="B11" s="4">
        <f t="shared" si="0"/>
        <v>0.97254901960784312</v>
      </c>
      <c r="C11" s="6">
        <f>$I$7*B11/((1+$I$7)-B11)</f>
        <v>0.76307692307692254</v>
      </c>
      <c r="D11" s="3">
        <f>C11*(1-$I$6) + $I$6</f>
        <v>0.78173228346456647</v>
      </c>
      <c r="E11" s="2">
        <f t="shared" si="1"/>
        <v>99</v>
      </c>
      <c r="F11" s="2">
        <f t="shared" si="2"/>
        <v>0.80798284478112992</v>
      </c>
    </row>
    <row r="12" spans="1:10" x14ac:dyDescent="0.2">
      <c r="A12" s="2">
        <v>247</v>
      </c>
      <c r="B12" s="4">
        <f t="shared" si="0"/>
        <v>0.96862745098039216</v>
      </c>
      <c r="C12" s="6">
        <f>$I$7*B12/((1+$I$7)-B12)</f>
        <v>0.7373134328358204</v>
      </c>
      <c r="D12" s="3">
        <f>C12*(1-$I$6) + $I$6</f>
        <v>0.75799741450229119</v>
      </c>
      <c r="E12" s="2">
        <f t="shared" si="1"/>
        <v>96</v>
      </c>
      <c r="F12" s="2">
        <f t="shared" si="2"/>
        <v>0.78374335943769602</v>
      </c>
    </row>
    <row r="13" spans="1:10" x14ac:dyDescent="0.2">
      <c r="A13" s="2">
        <v>246</v>
      </c>
      <c r="B13" s="4">
        <f t="shared" si="0"/>
        <v>0.96470588235294119</v>
      </c>
      <c r="C13" s="6">
        <f>$I$7*B13/((1+$I$7)-B13)</f>
        <v>0.71304347826086922</v>
      </c>
      <c r="D13" s="3">
        <f>C13*(1-$I$6) + $I$6</f>
        <v>0.73563847997261178</v>
      </c>
      <c r="E13" s="2">
        <f t="shared" si="1"/>
        <v>93</v>
      </c>
      <c r="F13" s="2">
        <f t="shared" si="2"/>
        <v>0.76023105865456508</v>
      </c>
    </row>
    <row r="14" spans="1:10" x14ac:dyDescent="0.2">
      <c r="A14" s="2">
        <v>245</v>
      </c>
      <c r="B14" s="4">
        <f t="shared" si="0"/>
        <v>0.96078431372549022</v>
      </c>
      <c r="C14" s="6">
        <f>$I$7*B14/((1+$I$7)-B14)</f>
        <v>0.69014084507042228</v>
      </c>
      <c r="D14" s="3">
        <f>C14*(1-$I$6) + $I$6</f>
        <v>0.71453920372629454</v>
      </c>
      <c r="E14" s="2">
        <f t="shared" si="1"/>
        <v>91</v>
      </c>
      <c r="F14" s="2">
        <f t="shared" si="2"/>
        <v>0.73742412689492809</v>
      </c>
    </row>
    <row r="15" spans="1:10" x14ac:dyDescent="0.2">
      <c r="A15" s="2">
        <v>244</v>
      </c>
      <c r="B15" s="4">
        <f t="shared" si="0"/>
        <v>0.95686274509803926</v>
      </c>
      <c r="C15" s="6">
        <f>$I$7*B15/((1+$I$7)-B15)</f>
        <v>0.66849315068493143</v>
      </c>
      <c r="D15" s="3">
        <f>C15*(1-$I$6) + $I$6</f>
        <v>0.69459605220580301</v>
      </c>
      <c r="E15" s="2">
        <f t="shared" si="1"/>
        <v>88</v>
      </c>
      <c r="F15" s="2">
        <f t="shared" si="2"/>
        <v>0.71530140308808021</v>
      </c>
    </row>
    <row r="16" spans="1:10" x14ac:dyDescent="0.2">
      <c r="A16" s="2">
        <v>243</v>
      </c>
      <c r="B16" s="4">
        <f t="shared" si="0"/>
        <v>0.95294117647058818</v>
      </c>
      <c r="C16" s="6">
        <f>$I$7*B16/((1+$I$7)-B16)</f>
        <v>0.64799999999999935</v>
      </c>
      <c r="D16" s="3">
        <f>C16*(1-$I$6) + $I$6</f>
        <v>0.67571653543307031</v>
      </c>
      <c r="E16" s="2">
        <f t="shared" si="1"/>
        <v>86</v>
      </c>
      <c r="F16" s="2">
        <f t="shared" si="2"/>
        <v>0.69384236099543783</v>
      </c>
    </row>
    <row r="17" spans="1:6" x14ac:dyDescent="0.2">
      <c r="A17" s="2">
        <v>242</v>
      </c>
      <c r="B17" s="4">
        <f t="shared" si="0"/>
        <v>0.94901960784313721</v>
      </c>
      <c r="C17" s="6">
        <f>$I$7*B17/((1+$I$7)-B17)</f>
        <v>0.62857142857142811</v>
      </c>
      <c r="D17" s="3">
        <f>C17*(1-$I$6) + $I$6</f>
        <v>0.65781777277840225</v>
      </c>
      <c r="E17" s="2">
        <f t="shared" si="1"/>
        <v>84</v>
      </c>
      <c r="F17" s="2">
        <f t="shared" si="2"/>
        <v>0.67302709016557472</v>
      </c>
    </row>
    <row r="18" spans="1:6" x14ac:dyDescent="0.2">
      <c r="A18" s="2">
        <v>241</v>
      </c>
      <c r="B18" s="4">
        <f t="shared" si="0"/>
        <v>0.94509803921568625</v>
      </c>
      <c r="C18" s="6">
        <f>$I$7*B18/((1+$I$7)-B18)</f>
        <v>0.6101265822784806</v>
      </c>
      <c r="D18" s="3">
        <f>C18*(1-$I$6) + $I$6</f>
        <v>0.64082527658726163</v>
      </c>
      <c r="E18" s="2">
        <f t="shared" si="1"/>
        <v>81</v>
      </c>
      <c r="F18" s="2">
        <f t="shared" si="2"/>
        <v>0.65283627746060746</v>
      </c>
    </row>
    <row r="19" spans="1:6" x14ac:dyDescent="0.2">
      <c r="A19" s="2">
        <v>240</v>
      </c>
      <c r="B19" s="4">
        <f t="shared" si="0"/>
        <v>0.94117647058823528</v>
      </c>
      <c r="C19" s="6">
        <f>$I$7*B19/((1+$I$7)-B19)</f>
        <v>0.59259259259259223</v>
      </c>
      <c r="D19" s="3">
        <f>C19*(1-$I$6) + $I$6</f>
        <v>0.62467191601049832</v>
      </c>
      <c r="E19" s="2">
        <f t="shared" si="1"/>
        <v>79</v>
      </c>
      <c r="F19" s="2">
        <f t="shared" si="2"/>
        <v>0.63325118913678924</v>
      </c>
    </row>
    <row r="20" spans="1:6" x14ac:dyDescent="0.2">
      <c r="A20" s="2">
        <v>239</v>
      </c>
      <c r="B20" s="4">
        <f t="shared" si="0"/>
        <v>0.93725490196078431</v>
      </c>
      <c r="C20" s="6">
        <f>$I$7*B20/((1+$I$7)-B20)</f>
        <v>0.57590361445783111</v>
      </c>
      <c r="D20" s="3">
        <f>C20*(1-$I$6) + $I$6</f>
        <v>0.60929703064225382</v>
      </c>
      <c r="E20" s="2">
        <f t="shared" si="1"/>
        <v>77</v>
      </c>
      <c r="F20" s="2">
        <f t="shared" si="2"/>
        <v>0.61425365346268557</v>
      </c>
    </row>
    <row r="21" spans="1:6" x14ac:dyDescent="0.2">
      <c r="A21" s="2">
        <v>238</v>
      </c>
      <c r="B21" s="4">
        <f t="shared" si="0"/>
        <v>0.93333333333333335</v>
      </c>
      <c r="C21" s="6">
        <f>$I$7*B21/((1+$I$7)-B21)</f>
        <v>0.55999999999999983</v>
      </c>
      <c r="D21" s="3">
        <f>C21*(1-$I$6) + $I$6</f>
        <v>0.59464566929133844</v>
      </c>
      <c r="E21" s="2">
        <f t="shared" si="1"/>
        <v>76</v>
      </c>
      <c r="F21" s="2">
        <f t="shared" si="2"/>
        <v>0.595826043858805</v>
      </c>
    </row>
    <row r="22" spans="1:6" x14ac:dyDescent="0.2">
      <c r="A22" s="2">
        <v>237</v>
      </c>
      <c r="B22" s="4">
        <f t="shared" si="0"/>
        <v>0.92941176470588238</v>
      </c>
      <c r="C22" s="6">
        <f>$I$7*B22/((1+$I$7)-B22)</f>
        <v>0.54482758620689642</v>
      </c>
      <c r="D22" s="3">
        <f>C22*(1-$I$6) + $I$6</f>
        <v>0.58066793374966041</v>
      </c>
      <c r="E22" s="2">
        <f t="shared" si="1"/>
        <v>74</v>
      </c>
      <c r="F22" s="2">
        <f t="shared" si="2"/>
        <v>0.57795126254304086</v>
      </c>
    </row>
    <row r="23" spans="1:6" x14ac:dyDescent="0.2">
      <c r="A23" s="2">
        <v>236</v>
      </c>
      <c r="B23" s="4">
        <f t="shared" si="0"/>
        <v>0.92549019607843142</v>
      </c>
      <c r="C23" s="6">
        <f>$I$7*B23/((1+$I$7)-B23)</f>
        <v>0.53033707865168533</v>
      </c>
      <c r="D23" s="3">
        <f>C23*(1-$I$6) + $I$6</f>
        <v>0.56731841104131642</v>
      </c>
      <c r="E23" s="2">
        <f t="shared" si="1"/>
        <v>72</v>
      </c>
      <c r="F23" s="2">
        <f t="shared" si="2"/>
        <v>0.56061272466674961</v>
      </c>
    </row>
    <row r="24" spans="1:6" x14ac:dyDescent="0.2">
      <c r="A24" s="2">
        <v>235</v>
      </c>
      <c r="B24" s="4">
        <f t="shared" si="0"/>
        <v>0.92156862745098034</v>
      </c>
      <c r="C24" s="6">
        <f>$I$7*B24/((1+$I$7)-B24)</f>
        <v>0.51648351648351609</v>
      </c>
      <c r="D24" s="3">
        <f>C24*(1-$I$6) + $I$6</f>
        <v>0.55455568053993221</v>
      </c>
      <c r="E24" s="2">
        <f t="shared" si="1"/>
        <v>70</v>
      </c>
      <c r="F24" s="2">
        <f t="shared" si="2"/>
        <v>0.54379434292674711</v>
      </c>
    </row>
    <row r="25" spans="1:6" x14ac:dyDescent="0.2">
      <c r="A25" s="2">
        <v>234</v>
      </c>
      <c r="B25" s="4">
        <f t="shared" si="0"/>
        <v>0.91764705882352937</v>
      </c>
      <c r="C25" s="6">
        <f>$I$7*B25/((1+$I$7)-B25)</f>
        <v>0.50322580645161252</v>
      </c>
      <c r="D25" s="3">
        <f>C25*(1-$I$6) + $I$6</f>
        <v>0.54234188468376898</v>
      </c>
      <c r="E25" s="2">
        <f t="shared" si="1"/>
        <v>69</v>
      </c>
      <c r="F25" s="2">
        <f t="shared" si="2"/>
        <v>0.52748051263894469</v>
      </c>
    </row>
    <row r="26" spans="1:6" x14ac:dyDescent="0.2">
      <c r="A26" s="2">
        <v>233</v>
      </c>
      <c r="B26" s="4">
        <f t="shared" si="0"/>
        <v>0.9137254901960784</v>
      </c>
      <c r="C26" s="6">
        <f>$I$7*B26/((1+$I$7)-B26)</f>
        <v>0.49052631578947337</v>
      </c>
      <c r="D26" s="3">
        <f>C26*(1-$I$6) + $I$6</f>
        <v>0.53064235391628645</v>
      </c>
      <c r="E26" s="2">
        <f t="shared" si="1"/>
        <v>67</v>
      </c>
      <c r="F26" s="2">
        <f t="shared" si="2"/>
        <v>0.51165609725977634</v>
      </c>
    </row>
    <row r="27" spans="1:6" x14ac:dyDescent="0.2">
      <c r="A27" s="2">
        <v>232</v>
      </c>
      <c r="B27" s="4">
        <f t="shared" si="0"/>
        <v>0.90980392156862744</v>
      </c>
      <c r="C27" s="6">
        <f>$I$7*B27/((1+$I$7)-B27)</f>
        <v>0.47835051546391733</v>
      </c>
      <c r="D27" s="3">
        <f>C27*(1-$I$6) + $I$6</f>
        <v>0.51942527802581362</v>
      </c>
      <c r="E27" s="2">
        <f t="shared" si="1"/>
        <v>66</v>
      </c>
      <c r="F27" s="2">
        <f t="shared" si="2"/>
        <v>0.49630641434198308</v>
      </c>
    </row>
    <row r="28" spans="1:6" x14ac:dyDescent="0.2">
      <c r="A28" s="2">
        <v>231</v>
      </c>
      <c r="B28" s="4">
        <f t="shared" si="0"/>
        <v>0.90588235294117647</v>
      </c>
      <c r="C28" s="6">
        <f>$I$7*B28/((1+$I$7)-B28)</f>
        <v>0.46666666666666645</v>
      </c>
      <c r="D28" s="3">
        <f>C28*(1-$I$6) + $I$6</f>
        <v>0.50866141732283443</v>
      </c>
      <c r="E28" s="2">
        <f t="shared" si="1"/>
        <v>65</v>
      </c>
      <c r="F28" s="2">
        <f t="shared" si="2"/>
        <v>0.48141722191172359</v>
      </c>
    </row>
    <row r="29" spans="1:6" x14ac:dyDescent="0.2">
      <c r="A29" s="2">
        <v>230</v>
      </c>
      <c r="B29" s="4">
        <f t="shared" si="0"/>
        <v>0.90196078431372551</v>
      </c>
      <c r="C29" s="6">
        <f>$I$7*B29/((1+$I$7)-B29)</f>
        <v>0.45544554455445535</v>
      </c>
      <c r="D29" s="3">
        <f>C29*(1-$I$6) + $I$6</f>
        <v>0.49832384813284469</v>
      </c>
      <c r="E29" s="2">
        <f t="shared" si="1"/>
        <v>63</v>
      </c>
      <c r="F29" s="2">
        <f t="shared" si="2"/>
        <v>0.4669747052543719</v>
      </c>
    </row>
    <row r="30" spans="1:6" x14ac:dyDescent="0.2">
      <c r="A30" s="2">
        <v>229</v>
      </c>
      <c r="B30" s="4">
        <f t="shared" si="0"/>
        <v>0.89803921568627454</v>
      </c>
      <c r="C30" s="6">
        <f>$I$7*B30/((1+$I$7)-B30)</f>
        <v>0.44466019417475722</v>
      </c>
      <c r="D30" s="3">
        <f>C30*(1-$I$6) + $I$6</f>
        <v>0.48838773794052437</v>
      </c>
      <c r="E30" s="2">
        <f t="shared" si="1"/>
        <v>62</v>
      </c>
      <c r="F30" s="2">
        <f t="shared" si="2"/>
        <v>0.45296546409674077</v>
      </c>
    </row>
    <row r="31" spans="1:6" x14ac:dyDescent="0.2">
      <c r="A31" s="2">
        <v>228</v>
      </c>
      <c r="B31" s="4">
        <f t="shared" si="0"/>
        <v>0.89411764705882357</v>
      </c>
      <c r="C31" s="6">
        <f>$I$7*B31/((1+$I$7)-B31)</f>
        <v>0.43428571428571422</v>
      </c>
      <c r="D31" s="3">
        <f>C31*(1-$I$6) + $I$6</f>
        <v>0.47883014623172093</v>
      </c>
      <c r="E31" s="2">
        <f t="shared" si="1"/>
        <v>61</v>
      </c>
      <c r="F31" s="2">
        <f t="shared" si="2"/>
        <v>0.43937650017383856</v>
      </c>
    </row>
    <row r="32" spans="1:6" x14ac:dyDescent="0.2">
      <c r="A32" s="2">
        <v>227</v>
      </c>
      <c r="B32" s="4">
        <f t="shared" si="0"/>
        <v>0.8901960784313725</v>
      </c>
      <c r="C32" s="6">
        <f>$I$7*B32/((1+$I$7)-B32)</f>
        <v>0.42429906542056045</v>
      </c>
      <c r="D32" s="3">
        <f>C32*(1-$I$6) + $I$6</f>
        <v>0.46962984767090998</v>
      </c>
      <c r="E32" s="2">
        <f t="shared" si="1"/>
        <v>60</v>
      </c>
      <c r="F32" s="2">
        <f t="shared" si="2"/>
        <v>0.42619520516862341</v>
      </c>
    </row>
    <row r="33" spans="1:6" x14ac:dyDescent="0.2">
      <c r="A33" s="2">
        <v>226</v>
      </c>
      <c r="B33" s="4">
        <f t="shared" si="0"/>
        <v>0.88627450980392153</v>
      </c>
      <c r="C33" s="6">
        <f>$I$7*B33/((1+$I$7)-B33)</f>
        <v>0.41467889908256855</v>
      </c>
      <c r="D33" s="3">
        <f>C33*(1-$I$6) + $I$6</f>
        <v>0.46076717474535844</v>
      </c>
      <c r="E33" s="2">
        <f t="shared" si="1"/>
        <v>59</v>
      </c>
      <c r="F33" s="2">
        <f t="shared" si="2"/>
        <v>0.41340934901356469</v>
      </c>
    </row>
    <row r="34" spans="1:6" x14ac:dyDescent="0.2">
      <c r="A34" s="2">
        <v>225</v>
      </c>
      <c r="B34" s="4">
        <f t="shared" si="0"/>
        <v>0.88235294117647056</v>
      </c>
      <c r="C34" s="6">
        <f>$I$7*B34/((1+$I$7)-B34)</f>
        <v>0.40540540540540521</v>
      </c>
      <c r="D34" s="3">
        <f>C34*(1-$I$6) + $I$6</f>
        <v>0.45222387742072767</v>
      </c>
      <c r="E34" s="2">
        <f t="shared" si="1"/>
        <v>57</v>
      </c>
      <c r="F34" s="2">
        <f t="shared" si="2"/>
        <v>0.40100706854315776</v>
      </c>
    </row>
    <row r="35" spans="1:6" x14ac:dyDescent="0.2">
      <c r="A35" s="2">
        <v>224</v>
      </c>
      <c r="B35" s="4">
        <f t="shared" si="0"/>
        <v>0.8784313725490196</v>
      </c>
      <c r="C35" s="6">
        <f>$I$7*B35/((1+$I$7)-B35)</f>
        <v>0.39646017699115027</v>
      </c>
      <c r="D35" s="3">
        <f>C35*(1-$I$6) + $I$6</f>
        <v>0.44398299770050853</v>
      </c>
      <c r="E35" s="2">
        <f t="shared" si="1"/>
        <v>56</v>
      </c>
      <c r="F35" s="2">
        <f t="shared" si="2"/>
        <v>0.38897685648686303</v>
      </c>
    </row>
    <row r="36" spans="1:6" x14ac:dyDescent="0.2">
      <c r="A36" s="2">
        <v>223</v>
      </c>
      <c r="B36" s="4">
        <f t="shared" si="0"/>
        <v>0.87450980392156863</v>
      </c>
      <c r="C36" s="6">
        <f>$I$7*B36/((1+$I$7)-B36)</f>
        <v>0.38782608695652165</v>
      </c>
      <c r="D36" s="3">
        <f>C36*(1-$I$6) + $I$6</f>
        <v>0.43602875727490575</v>
      </c>
      <c r="E36" s="2">
        <f t="shared" si="1"/>
        <v>55</v>
      </c>
      <c r="F36" s="2">
        <f t="shared" si="2"/>
        <v>0.37730755079225714</v>
      </c>
    </row>
    <row r="37" spans="1:6" x14ac:dyDescent="0.2">
      <c r="A37" s="2">
        <v>222</v>
      </c>
      <c r="B37" s="4">
        <f t="shared" si="0"/>
        <v>0.87058823529411766</v>
      </c>
      <c r="C37" s="6">
        <f>$I$7*B37/((1+$I$7)-B37)</f>
        <v>0.37948717948717942</v>
      </c>
      <c r="D37" s="3">
        <f>C37*(1-$I$6) + $I$6</f>
        <v>0.42834645669291338</v>
      </c>
      <c r="E37" s="2">
        <f t="shared" si="1"/>
        <v>54</v>
      </c>
      <c r="F37" s="2">
        <f t="shared" si="2"/>
        <v>0.36598832426848943</v>
      </c>
    </row>
    <row r="38" spans="1:6" x14ac:dyDescent="0.2">
      <c r="A38" s="2">
        <v>221</v>
      </c>
      <c r="B38" s="4">
        <f t="shared" si="0"/>
        <v>0.8666666666666667</v>
      </c>
      <c r="C38" s="6">
        <f>$I$7*B38/((1+$I$7)-B38)</f>
        <v>0.37142857142857133</v>
      </c>
      <c r="D38" s="3">
        <f>C38*(1-$I$6) + $I$6</f>
        <v>0.42092238470191223</v>
      </c>
      <c r="E38" s="2">
        <f t="shared" si="1"/>
        <v>53</v>
      </c>
      <c r="F38" s="2">
        <f t="shared" si="2"/>
        <v>0.35500867454043472</v>
      </c>
    </row>
    <row r="39" spans="1:6" x14ac:dyDescent="0.2">
      <c r="A39" s="2">
        <v>220</v>
      </c>
      <c r="B39" s="4">
        <f t="shared" si="0"/>
        <v>0.86274509803921573</v>
      </c>
      <c r="C39" s="6">
        <f>$I$7*B39/((1+$I$7)-B39)</f>
        <v>0.36363636363636365</v>
      </c>
      <c r="D39" s="3">
        <f>C39*(1-$I$6) + $I$6</f>
        <v>0.41374373657838226</v>
      </c>
      <c r="E39" s="2">
        <f t="shared" si="1"/>
        <v>53</v>
      </c>
      <c r="F39" s="2">
        <f t="shared" si="2"/>
        <v>0.3443584143042217</v>
      </c>
    </row>
    <row r="40" spans="1:6" x14ac:dyDescent="0.2">
      <c r="A40" s="2">
        <v>219</v>
      </c>
      <c r="B40" s="4">
        <f t="shared" si="0"/>
        <v>0.85882352941176465</v>
      </c>
      <c r="C40" s="6">
        <f>$I$7*B40/((1+$I$7)-B40)</f>
        <v>0.35609756097560952</v>
      </c>
      <c r="D40" s="3">
        <f>C40*(1-$I$6) + $I$6</f>
        <v>0.40679854042634889</v>
      </c>
      <c r="E40" s="2">
        <f t="shared" si="1"/>
        <v>52</v>
      </c>
      <c r="F40" s="2">
        <f t="shared" si="2"/>
        <v>0.33402766187509503</v>
      </c>
    </row>
    <row r="41" spans="1:6" x14ac:dyDescent="0.2">
      <c r="A41" s="2">
        <v>218</v>
      </c>
      <c r="B41" s="4">
        <f t="shared" si="0"/>
        <v>0.85490196078431369</v>
      </c>
      <c r="C41" s="6">
        <f>$I$7*B41/((1+$I$7)-B41)</f>
        <v>0.34879999999999983</v>
      </c>
      <c r="D41" s="3">
        <f>C41*(1-$I$6) + $I$6</f>
        <v>0.40007559055118092</v>
      </c>
      <c r="E41" s="2">
        <f t="shared" si="1"/>
        <v>51</v>
      </c>
      <c r="F41" s="2">
        <f t="shared" si="2"/>
        <v>0.32400683201884217</v>
      </c>
    </row>
    <row r="42" spans="1:6" x14ac:dyDescent="0.2">
      <c r="A42" s="2">
        <v>217</v>
      </c>
      <c r="B42" s="4">
        <f t="shared" si="0"/>
        <v>0.85098039215686272</v>
      </c>
      <c r="C42" s="6">
        <f>$I$7*B42/((1+$I$7)-B42)</f>
        <v>0.3417322834645668</v>
      </c>
      <c r="D42" s="3">
        <f>C42*(1-$I$6) + $I$6</f>
        <v>0.39356438712877417</v>
      </c>
      <c r="E42" s="2">
        <f t="shared" si="1"/>
        <v>50</v>
      </c>
      <c r="F42" s="2">
        <f t="shared" si="2"/>
        <v>0.31428662705827692</v>
      </c>
    </row>
    <row r="43" spans="1:6" x14ac:dyDescent="0.2">
      <c r="A43" s="2">
        <v>216</v>
      </c>
      <c r="B43" s="4">
        <f t="shared" si="0"/>
        <v>0.84705882352941175</v>
      </c>
      <c r="C43" s="6">
        <f>$I$7*B43/((1+$I$7)-B43)</f>
        <v>0.33488372093023244</v>
      </c>
      <c r="D43" s="3">
        <f>C43*(1-$I$6) + $I$6</f>
        <v>0.38725508148690702</v>
      </c>
      <c r="E43" s="2">
        <f t="shared" si="1"/>
        <v>49</v>
      </c>
      <c r="F43" s="2">
        <f t="shared" si="2"/>
        <v>0.30485802824652863</v>
      </c>
    </row>
    <row r="44" spans="1:6" x14ac:dyDescent="0.2">
      <c r="A44" s="2">
        <v>215</v>
      </c>
      <c r="B44" s="4">
        <f t="shared" si="0"/>
        <v>0.84313725490196079</v>
      </c>
      <c r="C44" s="6">
        <f>$I$7*B44/((1+$I$7)-B44)</f>
        <v>0.32824427480916024</v>
      </c>
      <c r="D44" s="3">
        <f>C44*(1-$I$6) + $I$6</f>
        <v>0.3811384263989902</v>
      </c>
      <c r="E44" s="2">
        <f t="shared" si="1"/>
        <v>48</v>
      </c>
      <c r="F44" s="2">
        <f t="shared" si="2"/>
        <v>0.2957122873991328</v>
      </c>
    </row>
    <row r="45" spans="1:6" x14ac:dyDescent="0.2">
      <c r="A45" s="2">
        <v>214</v>
      </c>
      <c r="B45" s="4">
        <f t="shared" si="0"/>
        <v>0.83921568627450982</v>
      </c>
      <c r="C45" s="6">
        <f>$I$7*B45/((1+$I$7)-B45)</f>
        <v>0.32180451127819543</v>
      </c>
      <c r="D45" s="3">
        <f>C45*(1-$I$6) + $I$6</f>
        <v>0.37520573086258946</v>
      </c>
      <c r="E45" s="2">
        <f t="shared" si="1"/>
        <v>48</v>
      </c>
      <c r="F45" s="2">
        <f t="shared" si="2"/>
        <v>0.28684091877715884</v>
      </c>
    </row>
    <row r="46" spans="1:6" x14ac:dyDescent="0.2">
      <c r="A46" s="2">
        <v>213</v>
      </c>
      <c r="B46" s="4">
        <f t="shared" si="0"/>
        <v>0.83529411764705885</v>
      </c>
      <c r="C46" s="6">
        <f>$I$7*B46/((1+$I$7)-B46)</f>
        <v>0.31555555555555553</v>
      </c>
      <c r="D46" s="3">
        <f>C46*(1-$I$6) + $I$6</f>
        <v>0.36944881889763781</v>
      </c>
      <c r="E46" s="2">
        <f t="shared" si="1"/>
        <v>47</v>
      </c>
      <c r="F46" s="2">
        <f t="shared" si="2"/>
        <v>0.27823569121384406</v>
      </c>
    </row>
    <row r="47" spans="1:6" x14ac:dyDescent="0.2">
      <c r="A47" s="2">
        <v>212</v>
      </c>
      <c r="B47" s="4">
        <f t="shared" si="0"/>
        <v>0.83137254901960789</v>
      </c>
      <c r="C47" s="6">
        <f>$I$7*B47/((1+$I$7)-B47)</f>
        <v>0.3094890510948905</v>
      </c>
      <c r="D47" s="3">
        <f>C47*(1-$I$6) + $I$6</f>
        <v>0.36385999195356056</v>
      </c>
      <c r="E47" s="2">
        <f t="shared" si="1"/>
        <v>46</v>
      </c>
      <c r="F47" s="2">
        <f t="shared" si="2"/>
        <v>0.26988862047742873</v>
      </c>
    </row>
    <row r="48" spans="1:6" x14ac:dyDescent="0.2">
      <c r="A48" s="2">
        <v>211</v>
      </c>
      <c r="B48" s="4">
        <f t="shared" si="0"/>
        <v>0.82745098039215681</v>
      </c>
      <c r="C48" s="6">
        <f>$I$7*B48/((1+$I$7)-B48)</f>
        <v>0.30359712230215813</v>
      </c>
      <c r="D48" s="3">
        <f>C48*(1-$I$6) + $I$6</f>
        <v>0.35843199456183072</v>
      </c>
      <c r="E48" s="2">
        <f t="shared" si="1"/>
        <v>46</v>
      </c>
      <c r="F48" s="2">
        <f t="shared" si="2"/>
        <v>0.26179196186310588</v>
      </c>
    </row>
    <row r="49" spans="1:6" x14ac:dyDescent="0.2">
      <c r="A49" s="2">
        <v>210</v>
      </c>
      <c r="B49" s="4">
        <f t="shared" si="0"/>
        <v>0.82352941176470584</v>
      </c>
      <c r="C49" s="6">
        <f>$I$7*B49/((1+$I$7)-B49)</f>
        <v>0.29787234042553179</v>
      </c>
      <c r="D49" s="3">
        <f>C49*(1-$I$6) + $I$6</f>
        <v>0.35315798291171041</v>
      </c>
      <c r="E49" s="2">
        <f t="shared" si="1"/>
        <v>45</v>
      </c>
      <c r="F49" s="2">
        <f t="shared" si="2"/>
        <v>0.2539382030072127</v>
      </c>
    </row>
    <row r="50" spans="1:6" x14ac:dyDescent="0.2">
      <c r="A50" s="2">
        <v>209</v>
      </c>
      <c r="B50" s="4">
        <f t="shared" si="0"/>
        <v>0.81960784313725488</v>
      </c>
      <c r="C50" s="6">
        <f>$I$7*B50/((1+$I$7)-B50)</f>
        <v>0.29230769230769221</v>
      </c>
      <c r="D50" s="3">
        <f>C50*(1-$I$6) + $I$6</f>
        <v>0.348031496062992</v>
      </c>
      <c r="E50" s="2">
        <f t="shared" si="1"/>
        <v>44</v>
      </c>
      <c r="F50" s="2">
        <f t="shared" si="2"/>
        <v>0.24632005691699632</v>
      </c>
    </row>
    <row r="51" spans="1:6" x14ac:dyDescent="0.2">
      <c r="A51" s="2">
        <v>208</v>
      </c>
      <c r="B51" s="4">
        <f t="shared" si="0"/>
        <v>0.81568627450980391</v>
      </c>
      <c r="C51" s="6">
        <f>$I$7*B51/((1+$I$7)-B51)</f>
        <v>0.28689655172413786</v>
      </c>
      <c r="D51" s="3">
        <f>C51*(1-$I$6) + $I$6</f>
        <v>0.34304642954113485</v>
      </c>
      <c r="E51" s="2">
        <f t="shared" si="1"/>
        <v>44</v>
      </c>
      <c r="F51" s="2">
        <f t="shared" si="2"/>
        <v>0.23893045520948644</v>
      </c>
    </row>
    <row r="52" spans="1:6" x14ac:dyDescent="0.2">
      <c r="A52" s="2">
        <v>207</v>
      </c>
      <c r="B52" s="4">
        <f t="shared" si="0"/>
        <v>0.81176470588235294</v>
      </c>
      <c r="C52" s="6">
        <f>$I$7*B52/((1+$I$7)-B52)</f>
        <v>0.28163265306122442</v>
      </c>
      <c r="D52" s="3">
        <f>C52*(1-$I$6) + $I$6</f>
        <v>0.33819701108789968</v>
      </c>
      <c r="E52" s="2">
        <f t="shared" si="1"/>
        <v>43</v>
      </c>
      <c r="F52" s="2">
        <f t="shared" si="2"/>
        <v>0.23176254155320186</v>
      </c>
    </row>
    <row r="53" spans="1:6" x14ac:dyDescent="0.2">
      <c r="A53" s="2">
        <v>206</v>
      </c>
      <c r="B53" s="4">
        <f t="shared" si="0"/>
        <v>0.80784313725490198</v>
      </c>
      <c r="C53" s="6">
        <f>$I$7*B53/((1+$I$7)-B53)</f>
        <v>0.27651006711409393</v>
      </c>
      <c r="D53" s="3">
        <f>C53*(1-$I$6) + $I$6</f>
        <v>0.33347777836495263</v>
      </c>
      <c r="E53" s="2">
        <f t="shared" si="1"/>
        <v>42</v>
      </c>
      <c r="F53" s="2">
        <f t="shared" si="2"/>
        <v>0.22480966530660582</v>
      </c>
    </row>
    <row r="54" spans="1:6" x14ac:dyDescent="0.2">
      <c r="A54" s="2">
        <v>205</v>
      </c>
      <c r="B54" s="4">
        <f t="shared" si="0"/>
        <v>0.80392156862745101</v>
      </c>
      <c r="C54" s="6">
        <f>$I$7*B54/((1+$I$7)-B54)</f>
        <v>0.27152317880794696</v>
      </c>
      <c r="D54" s="3">
        <f>C54*(1-$I$6) + $I$6</f>
        <v>0.32888355842936845</v>
      </c>
      <c r="E54" s="2">
        <f t="shared" si="1"/>
        <v>42</v>
      </c>
      <c r="F54" s="2">
        <f t="shared" si="2"/>
        <v>0.21806537534740764</v>
      </c>
    </row>
    <row r="55" spans="1:6" x14ac:dyDescent="0.2">
      <c r="A55" s="2">
        <v>204</v>
      </c>
      <c r="B55" s="4">
        <f t="shared" si="0"/>
        <v>0.8</v>
      </c>
      <c r="C55" s="6">
        <f>$I$7*B55/((1+$I$7)-B55)</f>
        <v>0.26666666666666666</v>
      </c>
      <c r="D55" s="3">
        <f>C55*(1-$I$6) + $I$6</f>
        <v>0.32440944881889766</v>
      </c>
      <c r="E55" s="2">
        <f t="shared" si="1"/>
        <v>41</v>
      </c>
      <c r="F55" s="2">
        <f t="shared" si="2"/>
        <v>0.21152341408698541</v>
      </c>
    </row>
    <row r="56" spans="1:6" x14ac:dyDescent="0.2">
      <c r="A56" s="2">
        <v>203</v>
      </c>
      <c r="B56" s="4">
        <f t="shared" si="0"/>
        <v>0.79607843137254897</v>
      </c>
      <c r="C56" s="6">
        <f>$I$7*B56/((1+$I$7)-B56)</f>
        <v>0.2619354838709676</v>
      </c>
      <c r="D56" s="3">
        <f>C56*(1-$I$6) + $I$6</f>
        <v>0.32005080010160009</v>
      </c>
      <c r="E56" s="2">
        <f t="shared" si="1"/>
        <v>41</v>
      </c>
      <c r="F56" s="2">
        <f t="shared" si="2"/>
        <v>0.20517771166437584</v>
      </c>
    </row>
    <row r="57" spans="1:6" x14ac:dyDescent="0.2">
      <c r="A57" s="2">
        <v>202</v>
      </c>
      <c r="B57" s="4">
        <f t="shared" si="0"/>
        <v>0.792156862745098</v>
      </c>
      <c r="C57" s="6">
        <f>$I$7*B57/((1+$I$7)-B57)</f>
        <v>0.25732484076433115</v>
      </c>
      <c r="D57" s="3">
        <f>C57*(1-$I$6) + $I$6</f>
        <v>0.31580319975926574</v>
      </c>
      <c r="E57" s="2">
        <f t="shared" si="1"/>
        <v>40</v>
      </c>
      <c r="F57" s="2">
        <f t="shared" si="2"/>
        <v>0.19902238031444458</v>
      </c>
    </row>
    <row r="58" spans="1:6" x14ac:dyDescent="0.2">
      <c r="A58" s="2">
        <v>201</v>
      </c>
      <c r="B58" s="4">
        <f t="shared" si="0"/>
        <v>0.78823529411764703</v>
      </c>
      <c r="C58" s="6">
        <f>$I$7*B58/((1+$I$7)-B58)</f>
        <v>0.25283018867924523</v>
      </c>
      <c r="D58" s="3">
        <f>C58*(1-$I$6) + $I$6</f>
        <v>0.31166245728717867</v>
      </c>
      <c r="E58" s="2">
        <f t="shared" si="1"/>
        <v>40</v>
      </c>
      <c r="F58" s="2">
        <f t="shared" si="2"/>
        <v>0.19305170890501125</v>
      </c>
    </row>
    <row r="59" spans="1:6" x14ac:dyDescent="0.2">
      <c r="A59" s="2">
        <v>200</v>
      </c>
      <c r="B59" s="4">
        <f t="shared" si="0"/>
        <v>0.78431372549019607</v>
      </c>
      <c r="C59" s="6">
        <f>$I$7*B59/((1+$I$7)-B59)</f>
        <v>0.24844720496894401</v>
      </c>
      <c r="D59" s="3">
        <f>C59*(1-$I$6) + $I$6</f>
        <v>0.30762459040446022</v>
      </c>
      <c r="E59" s="2">
        <f t="shared" si="1"/>
        <v>39</v>
      </c>
      <c r="F59" s="2">
        <f t="shared" si="2"/>
        <v>0.18726015763786091</v>
      </c>
    </row>
    <row r="60" spans="1:6" x14ac:dyDescent="0.2">
      <c r="A60" s="2">
        <v>199</v>
      </c>
      <c r="B60" s="4">
        <f t="shared" si="0"/>
        <v>0.7803921568627451</v>
      </c>
      <c r="C60" s="6">
        <f>$I$7*B60/((1+$I$7)-B60)</f>
        <v>0.24417177914110424</v>
      </c>
      <c r="D60" s="3">
        <f>C60*(1-$I$6) + $I$6</f>
        <v>0.30368581227960001</v>
      </c>
      <c r="E60" s="2">
        <f t="shared" si="1"/>
        <v>39</v>
      </c>
      <c r="F60" s="2">
        <f t="shared" si="2"/>
        <v>0.18164235290872507</v>
      </c>
    </row>
    <row r="61" spans="1:6" x14ac:dyDescent="0.2">
      <c r="A61" s="2">
        <v>198</v>
      </c>
      <c r="B61" s="4">
        <f t="shared" si="0"/>
        <v>0.77647058823529413</v>
      </c>
      <c r="C61" s="6">
        <f>$I$7*B61/((1+$I$7)-B61)</f>
        <v>0.23999999999999996</v>
      </c>
      <c r="D61" s="3">
        <f>C61*(1-$I$6) + $I$6</f>
        <v>0.29984251968503933</v>
      </c>
      <c r="E61" s="2">
        <f t="shared" si="1"/>
        <v>38</v>
      </c>
      <c r="F61" s="2">
        <f t="shared" si="2"/>
        <v>0.17619308232146333</v>
      </c>
    </row>
    <row r="62" spans="1:6" x14ac:dyDescent="0.2">
      <c r="A62" s="2">
        <v>197</v>
      </c>
      <c r="B62" s="4">
        <f t="shared" si="0"/>
        <v>0.77254901960784317</v>
      </c>
      <c r="C62" s="6">
        <f>$I$7*B62/((1+$I$7)-B62)</f>
        <v>0.23592814371257484</v>
      </c>
      <c r="D62" s="3">
        <f>C62*(1-$I$6) + $I$6</f>
        <v>0.29609128200292328</v>
      </c>
      <c r="E62" s="2">
        <f t="shared" si="1"/>
        <v>38</v>
      </c>
      <c r="F62" s="2">
        <f t="shared" si="2"/>
        <v>0.17090728985181944</v>
      </c>
    </row>
    <row r="63" spans="1:6" x14ac:dyDescent="0.2">
      <c r="A63" s="2">
        <v>196</v>
      </c>
      <c r="B63" s="4">
        <f t="shared" si="0"/>
        <v>0.7686274509803922</v>
      </c>
      <c r="C63" s="6">
        <f>$I$7*B63/((1+$I$7)-B63)</f>
        <v>0.23195266272189349</v>
      </c>
      <c r="D63" s="3">
        <f>C63*(1-$I$6) + $I$6</f>
        <v>0.29242883101150818</v>
      </c>
      <c r="E63" s="2">
        <f t="shared" si="1"/>
        <v>37</v>
      </c>
      <c r="F63" s="2">
        <f t="shared" si="2"/>
        <v>0.16578007115626486</v>
      </c>
    </row>
    <row r="64" spans="1:6" x14ac:dyDescent="0.2">
      <c r="A64" s="2">
        <v>195</v>
      </c>
      <c r="B64" s="4">
        <f t="shared" si="0"/>
        <v>0.76470588235294112</v>
      </c>
      <c r="C64" s="6">
        <f>$I$7*B64/((1+$I$7)-B64)</f>
        <v>0.22807017543859642</v>
      </c>
      <c r="D64" s="3">
        <f>C64*(1-$I$6) + $I$6</f>
        <v>0.28885205138831327</v>
      </c>
      <c r="E64" s="2">
        <f t="shared" si="1"/>
        <v>37</v>
      </c>
      <c r="F64" s="2">
        <f t="shared" si="2"/>
        <v>0.16080666902157692</v>
      </c>
    </row>
    <row r="65" spans="1:7" x14ac:dyDescent="0.2">
      <c r="A65" s="2">
        <v>194</v>
      </c>
      <c r="B65" s="4">
        <f t="shared" si="0"/>
        <v>0.76078431372549016</v>
      </c>
      <c r="C65" s="6">
        <f>$I$7*B65/((1+$I$7)-B65)</f>
        <v>0.22427745664739876</v>
      </c>
      <c r="D65" s="3">
        <f>C65*(1-$I$6) + $I$6</f>
        <v>0.28535797187201306</v>
      </c>
      <c r="E65" s="2">
        <f t="shared" si="1"/>
        <v>36</v>
      </c>
      <c r="F65" s="2">
        <f t="shared" si="2"/>
        <v>0.15598246895092963</v>
      </c>
    </row>
    <row r="66" spans="1:7" x14ac:dyDescent="0.2">
      <c r="A66" s="2">
        <v>193</v>
      </c>
      <c r="B66" s="4">
        <f t="shared" si="0"/>
        <v>0.75686274509803919</v>
      </c>
      <c r="C66" s="6">
        <f>$I$7*B66/((1+$I$7)-B66)</f>
        <v>0.2205714285714285</v>
      </c>
      <c r="D66" s="3">
        <f>C66*(1-$I$6) + $I$6</f>
        <v>0.28194375703037111</v>
      </c>
      <c r="E66" s="2">
        <f t="shared" si="1"/>
        <v>36</v>
      </c>
      <c r="F66" s="2">
        <f t="shared" si="2"/>
        <v>0.15130299488240173</v>
      </c>
    </row>
    <row r="67" spans="1:7" x14ac:dyDescent="0.2">
      <c r="A67" s="2">
        <v>192</v>
      </c>
      <c r="B67" s="4">
        <f t="shared" si="0"/>
        <v>0.75294117647058822</v>
      </c>
      <c r="C67" s="6">
        <f>$I$7*B67/((1+$I$7)-B67)</f>
        <v>0.21694915254237285</v>
      </c>
      <c r="D67" s="3">
        <f>C67*(1-$I$6) + $I$6</f>
        <v>0.27860669958628048</v>
      </c>
      <c r="E67" s="2">
        <f t="shared" si="1"/>
        <v>35</v>
      </c>
      <c r="F67" s="2">
        <f t="shared" si="2"/>
        <v>0.14676390503592968</v>
      </c>
    </row>
    <row r="68" spans="1:7" s="4" customFormat="1" x14ac:dyDescent="0.2">
      <c r="A68" s="2">
        <v>191</v>
      </c>
      <c r="B68" s="4">
        <f t="shared" si="0"/>
        <v>0.74901960784313726</v>
      </c>
      <c r="C68" s="6">
        <f>$I$7*B68/((1+$I$7)-B68)</f>
        <v>0.21340782122905025</v>
      </c>
      <c r="D68" s="3">
        <f>C68*(1-$I$6) + $I$6</f>
        <v>0.27534421325825886</v>
      </c>
      <c r="E68" s="2">
        <f t="shared" si="1"/>
        <v>35</v>
      </c>
      <c r="F68" s="2">
        <f t="shared" si="2"/>
        <v>0.1423609878848518</v>
      </c>
      <c r="G68" s="2"/>
    </row>
    <row r="69" spans="1:7" s="8" customFormat="1" x14ac:dyDescent="0.2">
      <c r="A69" s="2">
        <v>190</v>
      </c>
      <c r="B69" s="4">
        <f t="shared" ref="B69:B132" si="3">A69/255</f>
        <v>0.74509803921568629</v>
      </c>
      <c r="C69" s="6">
        <f>$I$7*B69/((1+$I$7)-B69)</f>
        <v>0.20994475138121543</v>
      </c>
      <c r="D69" s="3">
        <f>C69*(1-$I$6) + $I$6</f>
        <v>0.2721538260756079</v>
      </c>
      <c r="E69" s="2">
        <f t="shared" ref="E69:E132" si="4">ROUND(D69*127,0)</f>
        <v>35</v>
      </c>
      <c r="F69" s="2">
        <f t="shared" si="2"/>
        <v>0.13809015824830626</v>
      </c>
      <c r="G69" s="2"/>
    </row>
    <row r="70" spans="1:7" s="8" customFormat="1" x14ac:dyDescent="0.2">
      <c r="A70" s="2">
        <v>189</v>
      </c>
      <c r="B70" s="4">
        <f t="shared" si="3"/>
        <v>0.74117647058823533</v>
      </c>
      <c r="C70" s="6">
        <f>$I$7*B70/((1+$I$7)-B70)</f>
        <v>0.20655737704918031</v>
      </c>
      <c r="D70" s="3">
        <f>C70*(1-$I$6) + $I$6</f>
        <v>0.26903317413192201</v>
      </c>
      <c r="E70" s="2">
        <f t="shared" si="4"/>
        <v>34</v>
      </c>
      <c r="F70" s="2">
        <f t="shared" ref="F70:F133" si="5">F69-F69*$I$5</f>
        <v>0.13394745350085707</v>
      </c>
      <c r="G70" s="2"/>
    </row>
    <row r="71" spans="1:7" s="8" customFormat="1" x14ac:dyDescent="0.2">
      <c r="A71" s="2">
        <v>188</v>
      </c>
      <c r="B71" s="4">
        <f t="shared" si="3"/>
        <v>0.73725490196078436</v>
      </c>
      <c r="C71" s="6">
        <f>$I$7*B71/((1+$I$7)-B71)</f>
        <v>0.20324324324324322</v>
      </c>
      <c r="D71" s="3">
        <f>C71*(1-$I$6) + $I$6</f>
        <v>0.26597999574377529</v>
      </c>
      <c r="E71" s="2">
        <f t="shared" si="4"/>
        <v>34</v>
      </c>
      <c r="F71" s="2">
        <f t="shared" si="5"/>
        <v>0.12992902989583135</v>
      </c>
      <c r="G71" s="2"/>
    </row>
    <row r="72" spans="1:7" s="8" customFormat="1" x14ac:dyDescent="0.2">
      <c r="A72" s="2">
        <v>187</v>
      </c>
      <c r="B72" s="4">
        <f t="shared" si="3"/>
        <v>0.73333333333333328</v>
      </c>
      <c r="C72" s="6">
        <f>$I$7*B72/((1+$I$7)-B72)</f>
        <v>0.19999999999999993</v>
      </c>
      <c r="D72" s="3">
        <f>C72*(1-$I$6) + $I$6</f>
        <v>0.26299212598425192</v>
      </c>
      <c r="E72" s="2">
        <f t="shared" si="4"/>
        <v>33</v>
      </c>
      <c r="F72" s="2">
        <f t="shared" si="5"/>
        <v>0.12603115899895642</v>
      </c>
      <c r="G72" s="2"/>
    </row>
    <row r="73" spans="1:7" x14ac:dyDescent="0.2">
      <c r="A73" s="2">
        <v>186</v>
      </c>
      <c r="B73" s="4">
        <f t="shared" si="3"/>
        <v>0.72941176470588232</v>
      </c>
      <c r="C73" s="6">
        <f>$I$7*B73/((1+$I$7)-B73)</f>
        <v>0.19682539682539674</v>
      </c>
      <c r="D73" s="3">
        <f>C73*(1-$I$6) + $I$6</f>
        <v>0.26006749156355446</v>
      </c>
      <c r="E73" s="2">
        <f t="shared" si="4"/>
        <v>33</v>
      </c>
      <c r="F73" s="2">
        <f t="shared" si="5"/>
        <v>0.12225022422898774</v>
      </c>
    </row>
    <row r="74" spans="1:7" x14ac:dyDescent="0.2">
      <c r="A74" s="2">
        <v>185</v>
      </c>
      <c r="B74" s="4">
        <f t="shared" si="3"/>
        <v>0.72549019607843135</v>
      </c>
      <c r="C74" s="6">
        <f>$I$7*B74/((1+$I$7)-B74)</f>
        <v>0.19371727748691095</v>
      </c>
      <c r="D74" s="3">
        <f>C74*(1-$I$6) + $I$6</f>
        <v>0.25720410603124866</v>
      </c>
      <c r="E74" s="2">
        <f t="shared" si="4"/>
        <v>33</v>
      </c>
      <c r="F74" s="2">
        <f t="shared" si="5"/>
        <v>0.1185827175021181</v>
      </c>
    </row>
    <row r="75" spans="1:7" x14ac:dyDescent="0.2">
      <c r="A75" s="2">
        <v>184</v>
      </c>
      <c r="B75" s="4">
        <f t="shared" si="3"/>
        <v>0.72156862745098038</v>
      </c>
      <c r="C75" s="6">
        <f>$I$7*B75/((1+$I$7)-B75)</f>
        <v>0.19067357512953365</v>
      </c>
      <c r="D75" s="3">
        <f>C75*(1-$I$6) + $I$6</f>
        <v>0.25440006527681447</v>
      </c>
      <c r="E75" s="2">
        <f t="shared" si="4"/>
        <v>32</v>
      </c>
      <c r="F75" s="2">
        <f t="shared" si="5"/>
        <v>0.11502523597705455</v>
      </c>
    </row>
    <row r="76" spans="1:7" x14ac:dyDescent="0.2">
      <c r="A76" s="2">
        <v>183</v>
      </c>
      <c r="B76" s="4">
        <f t="shared" si="3"/>
        <v>0.71764705882352942</v>
      </c>
      <c r="C76" s="6">
        <f>$I$7*B76/((1+$I$7)-B76)</f>
        <v>0.18769230769230763</v>
      </c>
      <c r="D76" s="3">
        <f>C76*(1-$I$6) + $I$6</f>
        <v>0.25165354330708656</v>
      </c>
      <c r="E76" s="2">
        <f t="shared" si="4"/>
        <v>32</v>
      </c>
      <c r="F76" s="2">
        <f t="shared" si="5"/>
        <v>0.11157447889774291</v>
      </c>
    </row>
    <row r="77" spans="1:7" x14ac:dyDescent="0.2">
      <c r="A77" s="2">
        <v>182</v>
      </c>
      <c r="B77" s="4">
        <f t="shared" si="3"/>
        <v>0.71372549019607845</v>
      </c>
      <c r="C77" s="6">
        <f>$I$7*B77/((1+$I$7)-B77)</f>
        <v>0.18477157360406091</v>
      </c>
      <c r="D77" s="3">
        <f>C77*(1-$I$6) + $I$6</f>
        <v>0.24896278828090651</v>
      </c>
      <c r="E77" s="2">
        <f t="shared" si="4"/>
        <v>32</v>
      </c>
      <c r="F77" s="2">
        <f t="shared" si="5"/>
        <v>0.10822724453081063</v>
      </c>
    </row>
    <row r="78" spans="1:7" x14ac:dyDescent="0.2">
      <c r="A78" s="2">
        <v>181</v>
      </c>
      <c r="B78" s="4">
        <f t="shared" si="3"/>
        <v>0.70980392156862748</v>
      </c>
      <c r="C78" s="6">
        <f>$I$7*B78/((1+$I$7)-B78)</f>
        <v>0.18190954773869344</v>
      </c>
      <c r="D78" s="3">
        <f>C78*(1-$I$6) + $I$6</f>
        <v>0.24632611878289082</v>
      </c>
      <c r="E78" s="2">
        <f t="shared" si="4"/>
        <v>31</v>
      </c>
      <c r="F78" s="2">
        <f t="shared" si="5"/>
        <v>0.10498042719488632</v>
      </c>
    </row>
    <row r="79" spans="1:7" x14ac:dyDescent="0.2">
      <c r="A79" s="2">
        <v>180</v>
      </c>
      <c r="B79" s="4">
        <f t="shared" si="3"/>
        <v>0.70588235294117652</v>
      </c>
      <c r="C79" s="6">
        <f>$I$7*B79/((1+$I$7)-B79)</f>
        <v>0.17910447761194032</v>
      </c>
      <c r="D79" s="3">
        <f>C79*(1-$I$6) + $I$6</f>
        <v>0.24374192031966155</v>
      </c>
      <c r="E79" s="2">
        <f t="shared" si="4"/>
        <v>31</v>
      </c>
      <c r="F79" s="2">
        <f t="shared" si="5"/>
        <v>0.10183101437903973</v>
      </c>
    </row>
    <row r="80" spans="1:7" x14ac:dyDescent="0.2">
      <c r="A80" s="2">
        <v>179</v>
      </c>
      <c r="B80" s="4">
        <f t="shared" si="3"/>
        <v>0.70196078431372544</v>
      </c>
      <c r="C80" s="6">
        <f>$I$7*B80/((1+$I$7)-B80)</f>
        <v>0.17635467980295558</v>
      </c>
      <c r="D80" s="3">
        <f>C80*(1-$I$6) + $I$6</f>
        <v>0.24120864202319531</v>
      </c>
      <c r="E80" s="2">
        <f t="shared" si="4"/>
        <v>31</v>
      </c>
      <c r="F80" s="2">
        <f t="shared" si="5"/>
        <v>9.8776083947668541E-2</v>
      </c>
    </row>
    <row r="81" spans="1:6" x14ac:dyDescent="0.2">
      <c r="A81" s="2">
        <v>178</v>
      </c>
      <c r="B81" s="4">
        <f t="shared" si="3"/>
        <v>0.69803921568627447</v>
      </c>
      <c r="C81" s="6">
        <f>$I$7*B81/((1+$I$7)-B81)</f>
        <v>0.17365853658536581</v>
      </c>
      <c r="D81" s="3">
        <f>C81*(1-$I$6) + $I$6</f>
        <v>0.23872479354714804</v>
      </c>
      <c r="E81" s="2">
        <f t="shared" si="4"/>
        <v>30</v>
      </c>
      <c r="F81" s="2">
        <f t="shared" si="5"/>
        <v>9.5812801429238481E-2</v>
      </c>
    </row>
    <row r="82" spans="1:6" x14ac:dyDescent="0.2">
      <c r="A82" s="2">
        <v>177</v>
      </c>
      <c r="B82" s="4">
        <f t="shared" si="3"/>
        <v>0.69411764705882351</v>
      </c>
      <c r="C82" s="6">
        <f>$I$7*B82/((1+$I$7)-B82)</f>
        <v>0.17101449275362315</v>
      </c>
      <c r="D82" s="3">
        <f>C82*(1-$I$6) + $I$6</f>
        <v>0.23628894214310164</v>
      </c>
      <c r="E82" s="2">
        <f t="shared" si="4"/>
        <v>30</v>
      </c>
      <c r="F82" s="2">
        <f t="shared" si="5"/>
        <v>9.2938417386361327E-2</v>
      </c>
    </row>
    <row r="83" spans="1:6" x14ac:dyDescent="0.2">
      <c r="A83" s="2">
        <v>176</v>
      </c>
      <c r="B83" s="4">
        <f t="shared" si="3"/>
        <v>0.69019607843137254</v>
      </c>
      <c r="C83" s="6">
        <f>$I$7*B83/((1+$I$7)-B83)</f>
        <v>0.16842105263157889</v>
      </c>
      <c r="D83" s="3">
        <f>C83*(1-$I$6) + $I$6</f>
        <v>0.23389970990468292</v>
      </c>
      <c r="E83" s="2">
        <f t="shared" si="4"/>
        <v>30</v>
      </c>
      <c r="F83" s="2">
        <f t="shared" si="5"/>
        <v>9.0150264864770485E-2</v>
      </c>
    </row>
    <row r="84" spans="1:6" x14ac:dyDescent="0.2">
      <c r="A84" s="2">
        <v>175</v>
      </c>
      <c r="B84" s="4">
        <f t="shared" si="3"/>
        <v>0.68627450980392157</v>
      </c>
      <c r="C84" s="6">
        <f>$I$7*B84/((1+$I$7)-B84)</f>
        <v>0.16587677725118483</v>
      </c>
      <c r="D84" s="3">
        <f>C84*(1-$I$6) + $I$6</f>
        <v>0.23155577116841436</v>
      </c>
      <c r="E84" s="2">
        <f t="shared" si="4"/>
        <v>29</v>
      </c>
      <c r="F84" s="2">
        <f t="shared" si="5"/>
        <v>8.7445756918827375E-2</v>
      </c>
    </row>
    <row r="85" spans="1:6" x14ac:dyDescent="0.2">
      <c r="A85" s="2">
        <v>174</v>
      </c>
      <c r="B85" s="4">
        <f t="shared" si="3"/>
        <v>0.68235294117647061</v>
      </c>
      <c r="C85" s="6">
        <f>$I$7*B85/((1+$I$7)-B85)</f>
        <v>0.16338028169014082</v>
      </c>
      <c r="D85" s="3">
        <f>C85*(1-$I$6) + $I$6</f>
        <v>0.22925585006099589</v>
      </c>
      <c r="E85" s="2">
        <f t="shared" si="4"/>
        <v>29</v>
      </c>
      <c r="F85" s="2">
        <f t="shared" si="5"/>
        <v>8.482238421126255E-2</v>
      </c>
    </row>
    <row r="86" spans="1:6" x14ac:dyDescent="0.2">
      <c r="A86" s="2">
        <v>173</v>
      </c>
      <c r="B86" s="4">
        <f t="shared" si="3"/>
        <v>0.67843137254901964</v>
      </c>
      <c r="C86" s="6">
        <f>$I$7*B86/((1+$I$7)-B86)</f>
        <v>0.16093023255813954</v>
      </c>
      <c r="D86" s="3">
        <f>C86*(1-$I$6) + $I$6</f>
        <v>0.22699871818348288</v>
      </c>
      <c r="E86" s="2">
        <f t="shared" si="4"/>
        <v>29</v>
      </c>
      <c r="F86" s="2">
        <f t="shared" si="5"/>
        <v>8.2277712684924675E-2</v>
      </c>
    </row>
    <row r="87" spans="1:6" x14ac:dyDescent="0.2">
      <c r="A87" s="2">
        <v>172</v>
      </c>
      <c r="B87" s="4">
        <f t="shared" si="3"/>
        <v>0.67450980392156867</v>
      </c>
      <c r="C87" s="6">
        <f>$I$7*B87/((1+$I$7)-B87)</f>
        <v>0.15852534562211981</v>
      </c>
      <c r="D87" s="3">
        <f>C87*(1-$I$6) + $I$6</f>
        <v>0.22478319242352771</v>
      </c>
      <c r="E87" s="2">
        <f t="shared" si="4"/>
        <v>29</v>
      </c>
      <c r="F87" s="2">
        <f t="shared" si="5"/>
        <v>7.9809381304376939E-2</v>
      </c>
    </row>
    <row r="88" spans="1:6" x14ac:dyDescent="0.2">
      <c r="A88" s="2">
        <v>171</v>
      </c>
      <c r="B88" s="4">
        <f t="shared" si="3"/>
        <v>0.6705882352941176</v>
      </c>
      <c r="C88" s="6">
        <f>$I$7*B88/((1+$I$7)-B88)</f>
        <v>0.1561643835616438</v>
      </c>
      <c r="D88" s="3">
        <f>C88*(1-$I$6) + $I$6</f>
        <v>0.22260813288749862</v>
      </c>
      <c r="E88" s="2">
        <f t="shared" si="4"/>
        <v>28</v>
      </c>
      <c r="F88" s="2">
        <f t="shared" si="5"/>
        <v>7.7415099865245626E-2</v>
      </c>
    </row>
    <row r="89" spans="1:6" x14ac:dyDescent="0.2">
      <c r="A89" s="2">
        <v>170</v>
      </c>
      <c r="B89" s="4">
        <f t="shared" si="3"/>
        <v>0.66666666666666663</v>
      </c>
      <c r="C89" s="6">
        <f>$I$7*B89/((1+$I$7)-B89)</f>
        <v>0.1538461538461538</v>
      </c>
      <c r="D89" s="3">
        <f>C89*(1-$I$6) + $I$6</f>
        <v>0.22047244094488186</v>
      </c>
      <c r="E89" s="2">
        <f t="shared" si="4"/>
        <v>28</v>
      </c>
      <c r="F89" s="2">
        <f t="shared" si="5"/>
        <v>7.5092646869288251E-2</v>
      </c>
    </row>
    <row r="90" spans="1:6" x14ac:dyDescent="0.2">
      <c r="A90" s="2">
        <v>169</v>
      </c>
      <c r="B90" s="4">
        <f t="shared" si="3"/>
        <v>0.66274509803921566</v>
      </c>
      <c r="C90" s="6">
        <f>$I$7*B90/((1+$I$7)-B90)</f>
        <v>0.15156950672645736</v>
      </c>
      <c r="D90" s="3">
        <f>C90*(1-$I$6) + $I$6</f>
        <v>0.2183750573779174</v>
      </c>
      <c r="E90" s="2">
        <f t="shared" si="4"/>
        <v>28</v>
      </c>
      <c r="F90" s="2">
        <f t="shared" si="5"/>
        <v>7.2839867463209598E-2</v>
      </c>
    </row>
    <row r="91" spans="1:6" x14ac:dyDescent="0.2">
      <c r="A91" s="2">
        <v>168</v>
      </c>
      <c r="B91" s="4">
        <f t="shared" si="3"/>
        <v>0.6588235294117647</v>
      </c>
      <c r="C91" s="6">
        <f>$I$7*B91/((1+$I$7)-B91)</f>
        <v>0.14933333333333332</v>
      </c>
      <c r="D91" s="3">
        <f>C91*(1-$I$6) + $I$6</f>
        <v>0.21631496062992125</v>
      </c>
      <c r="E91" s="2">
        <f t="shared" si="4"/>
        <v>27</v>
      </c>
      <c r="F91" s="2">
        <f t="shared" si="5"/>
        <v>7.065467143931331E-2</v>
      </c>
    </row>
    <row r="92" spans="1:6" x14ac:dyDescent="0.2">
      <c r="A92" s="2">
        <v>167</v>
      </c>
      <c r="B92" s="4">
        <f t="shared" si="3"/>
        <v>0.65490196078431373</v>
      </c>
      <c r="C92" s="6">
        <f>$I$7*B92/((1+$I$7)-B92)</f>
        <v>0.14713656387665194</v>
      </c>
      <c r="D92" s="3">
        <f>C92*(1-$I$6) + $I$6</f>
        <v>0.21429116514620691</v>
      </c>
      <c r="E92" s="2">
        <f t="shared" si="4"/>
        <v>27</v>
      </c>
      <c r="F92" s="2">
        <f t="shared" si="5"/>
        <v>6.8535031296133905E-2</v>
      </c>
    </row>
    <row r="93" spans="1:6" x14ac:dyDescent="0.2">
      <c r="A93" s="2">
        <v>166</v>
      </c>
      <c r="B93" s="4">
        <f t="shared" si="3"/>
        <v>0.65098039215686276</v>
      </c>
      <c r="C93" s="6">
        <f>$I$7*B93/((1+$I$7)-B93)</f>
        <v>0.14497816593886462</v>
      </c>
      <c r="D93" s="3">
        <f>C93*(1-$I$6) + $I$6</f>
        <v>0.21230271980194615</v>
      </c>
      <c r="E93" s="2">
        <f t="shared" si="4"/>
        <v>27</v>
      </c>
      <c r="F93" s="2">
        <f t="shared" si="5"/>
        <v>6.6478980357249889E-2</v>
      </c>
    </row>
    <row r="94" spans="1:6" x14ac:dyDescent="0.2">
      <c r="A94" s="2">
        <v>165</v>
      </c>
      <c r="B94" s="4">
        <f t="shared" si="3"/>
        <v>0.6470588235294118</v>
      </c>
      <c r="C94" s="6">
        <f>$I$7*B94/((1+$I$7)-B94)</f>
        <v>0.14285714285714285</v>
      </c>
      <c r="D94" s="3">
        <f>C94*(1-$I$6) + $I$6</f>
        <v>0.21034870641169853</v>
      </c>
      <c r="E94" s="2">
        <f t="shared" si="4"/>
        <v>27</v>
      </c>
      <c r="F94" s="2">
        <f t="shared" si="5"/>
        <v>6.4484610946532392E-2</v>
      </c>
    </row>
    <row r="95" spans="1:6" x14ac:dyDescent="0.2">
      <c r="A95" s="2">
        <v>164</v>
      </c>
      <c r="B95" s="4">
        <f t="shared" si="3"/>
        <v>0.64313725490196083</v>
      </c>
      <c r="C95" s="6">
        <f>$I$7*B95/((1+$I$7)-B95)</f>
        <v>0.1407725321888412</v>
      </c>
      <c r="D95" s="3">
        <f>C95*(1-$I$6) + $I$6</f>
        <v>0.20842823831570409</v>
      </c>
      <c r="E95" s="2">
        <f t="shared" si="4"/>
        <v>26</v>
      </c>
      <c r="F95" s="2">
        <f t="shared" si="5"/>
        <v>6.2550072618136415E-2</v>
      </c>
    </row>
    <row r="96" spans="1:6" x14ac:dyDescent="0.2">
      <c r="A96" s="2">
        <v>163</v>
      </c>
      <c r="B96" s="4">
        <f t="shared" si="3"/>
        <v>0.63921568627450975</v>
      </c>
      <c r="C96" s="6">
        <f>$I$7*B96/((1+$I$7)-B96)</f>
        <v>0.13872340425531909</v>
      </c>
      <c r="D96" s="3">
        <f>C96*(1-$I$6) + $I$6</f>
        <v>0.20654045903836485</v>
      </c>
      <c r="E96" s="2">
        <f t="shared" si="4"/>
        <v>26</v>
      </c>
      <c r="F96" s="2">
        <f t="shared" si="5"/>
        <v>6.0673570439592324E-2</v>
      </c>
    </row>
    <row r="97" spans="1:6" x14ac:dyDescent="0.2">
      <c r="A97" s="2">
        <v>162</v>
      </c>
      <c r="B97" s="4">
        <f t="shared" si="3"/>
        <v>0.63529411764705879</v>
      </c>
      <c r="C97" s="6">
        <f>$I$7*B97/((1+$I$7)-B97)</f>
        <v>0.13670886075949362</v>
      </c>
      <c r="D97" s="3">
        <f>C97*(1-$I$6) + $I$6</f>
        <v>0.20468454101465161</v>
      </c>
      <c r="E97" s="2">
        <f t="shared" si="4"/>
        <v>26</v>
      </c>
      <c r="F97" s="2">
        <f t="shared" si="5"/>
        <v>5.8853363326404555E-2</v>
      </c>
    </row>
    <row r="98" spans="1:6" x14ac:dyDescent="0.2">
      <c r="A98" s="2">
        <v>161</v>
      </c>
      <c r="B98" s="4">
        <f t="shared" si="3"/>
        <v>0.63137254901960782</v>
      </c>
      <c r="C98" s="6">
        <f>$I$7*B98/((1+$I$7)-B98)</f>
        <v>0.13472803347280332</v>
      </c>
      <c r="D98" s="3">
        <f>C98*(1-$I$6) + $I$6</f>
        <v>0.2028596843804566</v>
      </c>
      <c r="E98" s="2">
        <f t="shared" si="4"/>
        <v>26</v>
      </c>
      <c r="F98" s="2">
        <f t="shared" si="5"/>
        <v>5.7087762426612419E-2</v>
      </c>
    </row>
    <row r="99" spans="1:6" x14ac:dyDescent="0.2">
      <c r="A99" s="2">
        <v>160</v>
      </c>
      <c r="B99" s="4">
        <f t="shared" si="3"/>
        <v>0.62745098039215685</v>
      </c>
      <c r="C99" s="6">
        <f>$I$7*B99/((1+$I$7)-B99)</f>
        <v>0.13278008298755184</v>
      </c>
      <c r="D99" s="3">
        <f>C99*(1-$I$6) + $I$6</f>
        <v>0.20106511582317768</v>
      </c>
      <c r="E99" s="2">
        <f t="shared" si="4"/>
        <v>26</v>
      </c>
      <c r="F99" s="2">
        <f t="shared" si="5"/>
        <v>5.5375129553814045E-2</v>
      </c>
    </row>
    <row r="100" spans="1:6" x14ac:dyDescent="0.2">
      <c r="A100" s="2">
        <v>159</v>
      </c>
      <c r="B100" s="4">
        <f t="shared" si="3"/>
        <v>0.62352941176470589</v>
      </c>
      <c r="C100" s="6">
        <f>$I$7*B100/((1+$I$7)-B100)</f>
        <v>0.13086419753086417</v>
      </c>
      <c r="D100" s="3">
        <f>C100*(1-$I$6) + $I$6</f>
        <v>0.19930008748906386</v>
      </c>
      <c r="E100" s="2">
        <f t="shared" si="4"/>
        <v>25</v>
      </c>
      <c r="F100" s="2">
        <f t="shared" si="5"/>
        <v>5.3713875667199623E-2</v>
      </c>
    </row>
    <row r="101" spans="1:6" x14ac:dyDescent="0.2">
      <c r="A101" s="2">
        <v>158</v>
      </c>
      <c r="B101" s="4">
        <f t="shared" si="3"/>
        <v>0.61960784313725492</v>
      </c>
      <c r="C101" s="6">
        <f>$I$7*B101/((1+$I$7)-B101)</f>
        <v>0.12897959183673469</v>
      </c>
      <c r="D101" s="3">
        <f>C101*(1-$I$6) + $I$6</f>
        <v>0.19756387594407843</v>
      </c>
      <c r="E101" s="2">
        <f t="shared" si="4"/>
        <v>25</v>
      </c>
      <c r="F101" s="2">
        <f t="shared" si="5"/>
        <v>5.2102459397183637E-2</v>
      </c>
    </row>
    <row r="102" spans="1:6" x14ac:dyDescent="0.2">
      <c r="A102" s="2">
        <v>157</v>
      </c>
      <c r="B102" s="4">
        <f t="shared" si="3"/>
        <v>0.61568627450980395</v>
      </c>
      <c r="C102" s="6">
        <f>$I$7*B102/((1+$I$7)-B102)</f>
        <v>0.12712550607287448</v>
      </c>
      <c r="D102" s="3">
        <f>C102*(1-$I$6) + $I$6</f>
        <v>0.19585578118524657</v>
      </c>
      <c r="E102" s="2">
        <f t="shared" si="4"/>
        <v>25</v>
      </c>
      <c r="F102" s="2">
        <f t="shared" si="5"/>
        <v>5.0539385615268127E-2</v>
      </c>
    </row>
    <row r="103" spans="1:6" x14ac:dyDescent="0.2">
      <c r="A103" s="2">
        <v>156</v>
      </c>
      <c r="B103" s="4">
        <f t="shared" si="3"/>
        <v>0.61176470588235299</v>
      </c>
      <c r="C103" s="6">
        <f>$I$7*B103/((1+$I$7)-B103)</f>
        <v>0.12530120481927712</v>
      </c>
      <c r="D103" s="3">
        <f>C103*(1-$I$6) + $I$6</f>
        <v>0.19417512569964901</v>
      </c>
      <c r="E103" s="2">
        <f t="shared" si="4"/>
        <v>25</v>
      </c>
      <c r="F103" s="2">
        <f t="shared" si="5"/>
        <v>4.9023204046810084E-2</v>
      </c>
    </row>
    <row r="104" spans="1:6" x14ac:dyDescent="0.2">
      <c r="A104" s="2">
        <v>155</v>
      </c>
      <c r="B104" s="4">
        <f t="shared" si="3"/>
        <v>0.60784313725490191</v>
      </c>
      <c r="C104" s="6">
        <f>$I$7*B104/((1+$I$7)-B104)</f>
        <v>0.12350597609561749</v>
      </c>
      <c r="D104" s="3">
        <f>C104*(1-$I$6) + $I$6</f>
        <v>0.19252125356840352</v>
      </c>
      <c r="E104" s="2">
        <f t="shared" si="4"/>
        <v>24</v>
      </c>
      <c r="F104" s="2">
        <f t="shared" si="5"/>
        <v>4.7552507925405781E-2</v>
      </c>
    </row>
    <row r="105" spans="1:6" x14ac:dyDescent="0.2">
      <c r="A105" s="2">
        <v>154</v>
      </c>
      <c r="B105" s="4">
        <f t="shared" si="3"/>
        <v>0.60392156862745094</v>
      </c>
      <c r="C105" s="6">
        <f>$I$7*B105/((1+$I$7)-B105)</f>
        <v>0.12173913043478259</v>
      </c>
      <c r="D105" s="3">
        <f>C105*(1-$I$6) + $I$6</f>
        <v>0.19089352961314615</v>
      </c>
      <c r="E105" s="2">
        <f t="shared" si="4"/>
        <v>24</v>
      </c>
      <c r="F105" s="2">
        <f t="shared" si="5"/>
        <v>4.612593268764361E-2</v>
      </c>
    </row>
    <row r="106" spans="1:6" x14ac:dyDescent="0.2">
      <c r="A106" s="2">
        <v>153</v>
      </c>
      <c r="B106" s="4">
        <f t="shared" si="3"/>
        <v>0.6</v>
      </c>
      <c r="C106" s="6">
        <f>$I$7*B106/((1+$I$7)-B106)</f>
        <v>0.11999999999999997</v>
      </c>
      <c r="D106" s="3">
        <f>C106*(1-$I$6) + $I$6</f>
        <v>0.18929133858267713</v>
      </c>
      <c r="E106" s="2">
        <f t="shared" si="4"/>
        <v>24</v>
      </c>
      <c r="F106" s="2">
        <f t="shared" si="5"/>
        <v>4.4742154707014301E-2</v>
      </c>
    </row>
    <row r="107" spans="1:6" x14ac:dyDescent="0.2">
      <c r="A107" s="2">
        <v>152</v>
      </c>
      <c r="B107" s="4">
        <f t="shared" si="3"/>
        <v>0.59607843137254901</v>
      </c>
      <c r="C107" s="6">
        <f>$I$7*B107/((1+$I$7)-B107)</f>
        <v>0.11828793774319064</v>
      </c>
      <c r="D107" s="3">
        <f>C107*(1-$I$6) + $I$6</f>
        <v>0.18771408437758508</v>
      </c>
      <c r="E107" s="2">
        <f t="shared" si="4"/>
        <v>24</v>
      </c>
      <c r="F107" s="2">
        <f t="shared" si="5"/>
        <v>4.3399890065803873E-2</v>
      </c>
    </row>
    <row r="108" spans="1:6" x14ac:dyDescent="0.2">
      <c r="A108" s="2">
        <v>151</v>
      </c>
      <c r="B108" s="4">
        <f t="shared" si="3"/>
        <v>0.59215686274509804</v>
      </c>
      <c r="C108" s="6">
        <f>$I$7*B108/((1+$I$7)-B108)</f>
        <v>0.11660231660231658</v>
      </c>
      <c r="D108" s="3">
        <f>C108*(1-$I$6) + $I$6</f>
        <v>0.18616118931079559</v>
      </c>
      <c r="E108" s="2">
        <f t="shared" si="4"/>
        <v>24</v>
      </c>
      <c r="F108" s="2">
        <f t="shared" si="5"/>
        <v>4.2097893363829755E-2</v>
      </c>
    </row>
    <row r="109" spans="1:6" x14ac:dyDescent="0.2">
      <c r="A109" s="2">
        <v>150</v>
      </c>
      <c r="B109" s="4">
        <f t="shared" si="3"/>
        <v>0.58823529411764708</v>
      </c>
      <c r="C109" s="6">
        <f>$I$7*B109/((1+$I$7)-B109)</f>
        <v>0.11494252873563218</v>
      </c>
      <c r="D109" s="3">
        <f>C109*(1-$I$6) + $I$6</f>
        <v>0.18463209340211784</v>
      </c>
      <c r="E109" s="2">
        <f t="shared" si="4"/>
        <v>23</v>
      </c>
      <c r="F109" s="2">
        <f t="shared" si="5"/>
        <v>4.0834956562914859E-2</v>
      </c>
    </row>
    <row r="110" spans="1:6" x14ac:dyDescent="0.2">
      <c r="A110" s="2">
        <v>149</v>
      </c>
      <c r="B110" s="4">
        <f t="shared" si="3"/>
        <v>0.58431372549019611</v>
      </c>
      <c r="C110" s="6">
        <f>$I$7*B110/((1+$I$7)-B110)</f>
        <v>0.11330798479087453</v>
      </c>
      <c r="D110" s="3">
        <f>C110*(1-$I$6) + $I$6</f>
        <v>0.1831262537049789</v>
      </c>
      <c r="E110" s="2">
        <f t="shared" si="4"/>
        <v>23</v>
      </c>
      <c r="F110" s="2">
        <f t="shared" si="5"/>
        <v>3.9609907866027416E-2</v>
      </c>
    </row>
    <row r="111" spans="1:6" x14ac:dyDescent="0.2">
      <c r="A111" s="2">
        <v>148</v>
      </c>
      <c r="B111" s="4">
        <f t="shared" si="3"/>
        <v>0.58039215686274515</v>
      </c>
      <c r="C111" s="6">
        <f>$I$7*B111/((1+$I$7)-B111)</f>
        <v>0.11169811320754718</v>
      </c>
      <c r="D111" s="3">
        <f>C111*(1-$I$6) + $I$6</f>
        <v>0.18164314366364581</v>
      </c>
      <c r="E111" s="2">
        <f t="shared" si="4"/>
        <v>23</v>
      </c>
      <c r="F111" s="2">
        <f t="shared" si="5"/>
        <v>3.8421610630046593E-2</v>
      </c>
    </row>
    <row r="112" spans="1:6" x14ac:dyDescent="0.2">
      <c r="A112" s="2">
        <v>147</v>
      </c>
      <c r="B112" s="4">
        <f t="shared" si="3"/>
        <v>0.57647058823529407</v>
      </c>
      <c r="C112" s="6">
        <f>$I$7*B112/((1+$I$7)-B112)</f>
        <v>0.11011235955056177</v>
      </c>
      <c r="D112" s="3">
        <f>C112*(1-$I$6) + $I$6</f>
        <v>0.18018225249933645</v>
      </c>
      <c r="E112" s="2">
        <f t="shared" si="4"/>
        <v>23</v>
      </c>
      <c r="F112" s="2">
        <f t="shared" si="5"/>
        <v>3.7268962311145196E-2</v>
      </c>
    </row>
    <row r="113" spans="1:6" x14ac:dyDescent="0.2">
      <c r="A113" s="2">
        <v>146</v>
      </c>
      <c r="B113" s="4">
        <f t="shared" si="3"/>
        <v>0.5725490196078431</v>
      </c>
      <c r="C113" s="6">
        <f>$I$7*B113/((1+$I$7)-B113)</f>
        <v>0.10855018587360592</v>
      </c>
      <c r="D113" s="3">
        <f>C113*(1-$I$6) + $I$6</f>
        <v>0.17874308462371569</v>
      </c>
      <c r="E113" s="2">
        <f t="shared" si="4"/>
        <v>23</v>
      </c>
      <c r="F113" s="2">
        <f t="shared" si="5"/>
        <v>3.6150893441810841E-2</v>
      </c>
    </row>
    <row r="114" spans="1:6" x14ac:dyDescent="0.2">
      <c r="A114" s="2">
        <v>145</v>
      </c>
      <c r="B114" s="4">
        <f t="shared" si="3"/>
        <v>0.56862745098039214</v>
      </c>
      <c r="C114" s="6">
        <f>$I$7*B114/((1+$I$7)-B114)</f>
        <v>0.10701107011070109</v>
      </c>
      <c r="D114" s="3">
        <f>C114*(1-$I$6) + $I$6</f>
        <v>0.17732515907836244</v>
      </c>
      <c r="E114" s="2">
        <f t="shared" si="4"/>
        <v>23</v>
      </c>
      <c r="F114" s="2">
        <f t="shared" si="5"/>
        <v>3.5066366638556515E-2</v>
      </c>
    </row>
    <row r="115" spans="1:6" x14ac:dyDescent="0.2">
      <c r="A115" s="2">
        <v>144</v>
      </c>
      <c r="B115" s="4">
        <f t="shared" si="3"/>
        <v>0.56470588235294117</v>
      </c>
      <c r="C115" s="6">
        <f>$I$7*B115/((1+$I$7)-B115)</f>
        <v>0.10549450549450548</v>
      </c>
      <c r="D115" s="3">
        <f>C115*(1-$I$6) + $I$6</f>
        <v>0.17592800899887512</v>
      </c>
      <c r="E115" s="2">
        <f t="shared" si="4"/>
        <v>22</v>
      </c>
      <c r="F115" s="2">
        <f t="shared" si="5"/>
        <v>3.4014375639399817E-2</v>
      </c>
    </row>
    <row r="116" spans="1:6" x14ac:dyDescent="0.2">
      <c r="A116" s="2">
        <v>143</v>
      </c>
      <c r="B116" s="4">
        <f t="shared" si="3"/>
        <v>0.5607843137254902</v>
      </c>
      <c r="C116" s="6">
        <f>$I$7*B116/((1+$I$7)-B116)</f>
        <v>0.104</v>
      </c>
      <c r="D116" s="3">
        <f>C116*(1-$I$6) + $I$6</f>
        <v>0.1745511811023622</v>
      </c>
      <c r="E116" s="2">
        <f t="shared" si="4"/>
        <v>22</v>
      </c>
      <c r="F116" s="2">
        <f t="shared" si="5"/>
        <v>3.2993944370217826E-2</v>
      </c>
    </row>
    <row r="117" spans="1:6" x14ac:dyDescent="0.2">
      <c r="A117" s="2">
        <v>142</v>
      </c>
      <c r="B117" s="4">
        <f t="shared" si="3"/>
        <v>0.55686274509803924</v>
      </c>
      <c r="C117" s="6">
        <f>$I$7*B117/((1+$I$7)-B117)</f>
        <v>0.10252707581227437</v>
      </c>
      <c r="D117" s="3">
        <f>C117*(1-$I$6) + $I$6</f>
        <v>0.17319423519713467</v>
      </c>
      <c r="E117" s="2">
        <f t="shared" si="4"/>
        <v>22</v>
      </c>
      <c r="F117" s="2">
        <f t="shared" si="5"/>
        <v>3.2004126039111291E-2</v>
      </c>
    </row>
    <row r="118" spans="1:6" x14ac:dyDescent="0.2">
      <c r="A118" s="2">
        <v>141</v>
      </c>
      <c r="B118" s="4">
        <f t="shared" si="3"/>
        <v>0.55294117647058827</v>
      </c>
      <c r="C118" s="6">
        <f>$I$7*B118/((1+$I$7)-B118)</f>
        <v>0.1010752688172043</v>
      </c>
      <c r="D118" s="3">
        <f>C118*(1-$I$6) + $I$6</f>
        <v>0.17185674371348741</v>
      </c>
      <c r="E118" s="2">
        <f t="shared" si="4"/>
        <v>22</v>
      </c>
      <c r="F118" s="2">
        <f t="shared" si="5"/>
        <v>3.1044002257937953E-2</v>
      </c>
    </row>
    <row r="119" spans="1:6" x14ac:dyDescent="0.2">
      <c r="A119" s="2">
        <v>140</v>
      </c>
      <c r="B119" s="4">
        <f t="shared" si="3"/>
        <v>0.5490196078431373</v>
      </c>
      <c r="C119" s="6">
        <f>$I$7*B119/((1+$I$7)-B119)</f>
        <v>9.9644128113879002E-2</v>
      </c>
      <c r="D119" s="3">
        <f>C119*(1-$I$6) + $I$6</f>
        <v>0.17053829125451847</v>
      </c>
      <c r="E119" s="2">
        <f t="shared" si="4"/>
        <v>22</v>
      </c>
      <c r="F119" s="2">
        <f t="shared" si="5"/>
        <v>3.0112682190199816E-2</v>
      </c>
    </row>
    <row r="120" spans="1:6" x14ac:dyDescent="0.2">
      <c r="A120" s="2">
        <v>139</v>
      </c>
      <c r="B120" s="4">
        <f t="shared" si="3"/>
        <v>0.54509803921568623</v>
      </c>
      <c r="C120" s="6">
        <f>$I$7*B120/((1+$I$7)-B120)</f>
        <v>9.8233215547703145E-2</v>
      </c>
      <c r="D120" s="3">
        <f>C120*(1-$I$6) + $I$6</f>
        <v>0.16923847416599425</v>
      </c>
      <c r="E120" s="2">
        <f t="shared" si="4"/>
        <v>21</v>
      </c>
      <c r="F120" s="2">
        <f t="shared" si="5"/>
        <v>2.9209301724493823E-2</v>
      </c>
    </row>
    <row r="121" spans="1:6" x14ac:dyDescent="0.2">
      <c r="A121" s="2">
        <v>138</v>
      </c>
      <c r="B121" s="4">
        <f t="shared" si="3"/>
        <v>0.54117647058823526</v>
      </c>
      <c r="C121" s="6">
        <f>$I$7*B121/((1+$I$7)-B121)</f>
        <v>9.6842105263157868E-2</v>
      </c>
      <c r="D121" s="3">
        <f>C121*(1-$I$6) + $I$6</f>
        <v>0.16795690012432654</v>
      </c>
      <c r="E121" s="2">
        <f t="shared" si="4"/>
        <v>21</v>
      </c>
      <c r="F121" s="2">
        <f t="shared" si="5"/>
        <v>2.8333022672759008E-2</v>
      </c>
    </row>
    <row r="122" spans="1:6" x14ac:dyDescent="0.2">
      <c r="A122" s="2">
        <v>137</v>
      </c>
      <c r="B122" s="4">
        <f t="shared" si="3"/>
        <v>0.53725490196078429</v>
      </c>
      <c r="C122" s="6">
        <f>$I$7*B122/((1+$I$7)-B122)</f>
        <v>9.5470383275261306E-2</v>
      </c>
      <c r="D122" s="3">
        <f>C122*(1-$I$6) + $I$6</f>
        <v>0.16669318774177616</v>
      </c>
      <c r="E122" s="2">
        <f t="shared" si="4"/>
        <v>21</v>
      </c>
      <c r="F122" s="2">
        <f t="shared" si="5"/>
        <v>2.7483031992576238E-2</v>
      </c>
    </row>
    <row r="123" spans="1:6" x14ac:dyDescent="0.2">
      <c r="A123" s="2">
        <v>136</v>
      </c>
      <c r="B123" s="4">
        <f t="shared" si="3"/>
        <v>0.53333333333333333</v>
      </c>
      <c r="C123" s="6">
        <f>$I$7*B123/((1+$I$7)-B123)</f>
        <v>9.4117647058823514E-2</v>
      </c>
      <c r="D123" s="3">
        <f>C123*(1-$I$6) + $I$6</f>
        <v>0.16544696618804999</v>
      </c>
      <c r="E123" s="2">
        <f t="shared" si="4"/>
        <v>21</v>
      </c>
      <c r="F123" s="2">
        <f t="shared" si="5"/>
        <v>2.6658541032798952E-2</v>
      </c>
    </row>
    <row r="124" spans="1:6" x14ac:dyDescent="0.2">
      <c r="A124" s="2">
        <v>135</v>
      </c>
      <c r="B124" s="4">
        <f t="shared" si="3"/>
        <v>0.52941176470588236</v>
      </c>
      <c r="C124" s="6">
        <f>$I$7*B124/((1+$I$7)-B124)</f>
        <v>9.2783505154639179E-2</v>
      </c>
      <c r="D124" s="3">
        <f>C124*(1-$I$6) + $I$6</f>
        <v>0.16421787482750222</v>
      </c>
      <c r="E124" s="2">
        <f t="shared" si="4"/>
        <v>21</v>
      </c>
      <c r="F124" s="2">
        <f t="shared" si="5"/>
        <v>2.5858784801814985E-2</v>
      </c>
    </row>
    <row r="125" spans="1:6" x14ac:dyDescent="0.2">
      <c r="A125" s="2">
        <v>134</v>
      </c>
      <c r="B125" s="4">
        <f t="shared" si="3"/>
        <v>0.52549019607843139</v>
      </c>
      <c r="C125" s="6">
        <f>$I$7*B125/((1+$I$7)-B125)</f>
        <v>9.1467576791808863E-2</v>
      </c>
      <c r="D125" s="3">
        <f>C125*(1-$I$6) + $I$6</f>
        <v>0.163005562871194</v>
      </c>
      <c r="E125" s="2">
        <f t="shared" si="4"/>
        <v>21</v>
      </c>
      <c r="F125" s="2">
        <f t="shared" si="5"/>
        <v>2.5083021257760536E-2</v>
      </c>
    </row>
    <row r="126" spans="1:6" x14ac:dyDescent="0.2">
      <c r="A126" s="2">
        <v>133</v>
      </c>
      <c r="B126" s="4">
        <f t="shared" si="3"/>
        <v>0.52156862745098043</v>
      </c>
      <c r="C126" s="6">
        <f>$I$7*B126/((1+$I$7)-B126)</f>
        <v>9.0169491525423723E-2</v>
      </c>
      <c r="D126" s="3">
        <f>C126*(1-$I$6) + $I$6</f>
        <v>0.16180968904310689</v>
      </c>
      <c r="E126" s="2">
        <f t="shared" si="4"/>
        <v>21</v>
      </c>
      <c r="F126" s="2">
        <f t="shared" si="5"/>
        <v>2.433053062002772E-2</v>
      </c>
    </row>
    <row r="127" spans="1:6" x14ac:dyDescent="0.2">
      <c r="A127" s="2">
        <v>132</v>
      </c>
      <c r="B127" s="4">
        <f t="shared" si="3"/>
        <v>0.51764705882352946</v>
      </c>
      <c r="C127" s="6">
        <f>$I$7*B127/((1+$I$7)-B127)</f>
        <v>8.8888888888888892E-2</v>
      </c>
      <c r="D127" s="3">
        <f>C127*(1-$I$6) + $I$6</f>
        <v>0.16062992125984252</v>
      </c>
      <c r="E127" s="2">
        <f t="shared" si="4"/>
        <v>20</v>
      </c>
      <c r="F127" s="2">
        <f t="shared" si="5"/>
        <v>2.3600614701426888E-2</v>
      </c>
    </row>
    <row r="128" spans="1:6" x14ac:dyDescent="0.2">
      <c r="A128" s="2">
        <v>131</v>
      </c>
      <c r="B128" s="4">
        <f t="shared" si="3"/>
        <v>0.51372549019607838</v>
      </c>
      <c r="C128" s="6">
        <f>$I$7*B128/((1+$I$7)-B128)</f>
        <v>8.7625418060200647E-2</v>
      </c>
      <c r="D128" s="3">
        <f>C128*(1-$I$6) + $I$6</f>
        <v>0.15946593632317696</v>
      </c>
      <c r="E128" s="2">
        <f t="shared" si="4"/>
        <v>20</v>
      </c>
      <c r="F128" s="2">
        <f t="shared" si="5"/>
        <v>2.289259626038408E-2</v>
      </c>
    </row>
    <row r="129" spans="1:6" x14ac:dyDescent="0.2">
      <c r="A129" s="2">
        <v>130</v>
      </c>
      <c r="B129" s="4">
        <f t="shared" si="3"/>
        <v>0.50980392156862742</v>
      </c>
      <c r="C129" s="6">
        <f>$I$7*B129/((1+$I$7)-B129)</f>
        <v>8.6378737541528222E-2</v>
      </c>
      <c r="D129" s="3">
        <f>C129*(1-$I$6) + $I$6</f>
        <v>0.15831741962487245</v>
      </c>
      <c r="E129" s="2">
        <f t="shared" si="4"/>
        <v>20</v>
      </c>
      <c r="F129" s="2">
        <f t="shared" si="5"/>
        <v>2.2205818372572558E-2</v>
      </c>
    </row>
    <row r="130" spans="1:6" x14ac:dyDescent="0.2">
      <c r="A130" s="2">
        <v>129</v>
      </c>
      <c r="B130" s="4">
        <f t="shared" si="3"/>
        <v>0.50588235294117645</v>
      </c>
      <c r="C130" s="6">
        <f>$I$7*B130/((1+$I$7)-B130)</f>
        <v>8.5148514851485141E-2</v>
      </c>
      <c r="D130" s="3">
        <f>C130*(1-$I$6) + $I$6</f>
        <v>0.15718406486317921</v>
      </c>
      <c r="E130" s="2">
        <f t="shared" si="4"/>
        <v>20</v>
      </c>
      <c r="F130" s="2">
        <f t="shared" si="5"/>
        <v>2.1539643821395383E-2</v>
      </c>
    </row>
    <row r="131" spans="1:6" x14ac:dyDescent="0.2">
      <c r="A131" s="2">
        <v>128</v>
      </c>
      <c r="B131" s="4">
        <f t="shared" si="3"/>
        <v>0.50196078431372548</v>
      </c>
      <c r="C131" s="6">
        <f>$I$7*B131/((1+$I$7)-B131)</f>
        <v>8.3934426229508197E-2</v>
      </c>
      <c r="D131" s="3">
        <f>C131*(1-$I$6) + $I$6</f>
        <v>0.15606557377049179</v>
      </c>
      <c r="E131" s="2">
        <f t="shared" si="4"/>
        <v>20</v>
      </c>
      <c r="F131" s="2">
        <f t="shared" si="5"/>
        <v>2.089345450675352E-2</v>
      </c>
    </row>
    <row r="132" spans="1:6" x14ac:dyDescent="0.2">
      <c r="A132" s="2">
        <v>127</v>
      </c>
      <c r="B132" s="4">
        <f t="shared" si="3"/>
        <v>0.49803921568627452</v>
      </c>
      <c r="C132" s="6">
        <f>$I$7*B132/((1+$I$7)-B132)</f>
        <v>8.2736156351791518E-2</v>
      </c>
      <c r="D132" s="3">
        <f>C132*(1-$I$6) + $I$6</f>
        <v>0.15496165585165045</v>
      </c>
      <c r="E132" s="2">
        <f t="shared" si="4"/>
        <v>20</v>
      </c>
      <c r="F132" s="2">
        <f t="shared" si="5"/>
        <v>2.0266650871550915E-2</v>
      </c>
    </row>
    <row r="133" spans="1:6" x14ac:dyDescent="0.2">
      <c r="A133" s="2">
        <v>126</v>
      </c>
      <c r="B133" s="4">
        <f t="shared" ref="B133:B196" si="6">A133/255</f>
        <v>0.49411764705882355</v>
      </c>
      <c r="C133" s="6">
        <f>$I$7*B133/((1+$I$7)-B133)</f>
        <v>8.155339805825243E-2</v>
      </c>
      <c r="D133" s="3">
        <f>C133*(1-$I$6) + $I$6</f>
        <v>0.1538720281324058</v>
      </c>
      <c r="E133" s="2">
        <f t="shared" ref="E133:E196" si="7">ROUND(D133*127,0)</f>
        <v>20</v>
      </c>
      <c r="F133" s="2">
        <f t="shared" si="5"/>
        <v>1.9658651345404388E-2</v>
      </c>
    </row>
    <row r="134" spans="1:6" x14ac:dyDescent="0.2">
      <c r="A134" s="2">
        <v>125</v>
      </c>
      <c r="B134" s="4">
        <f t="shared" si="6"/>
        <v>0.49019607843137253</v>
      </c>
      <c r="C134" s="6">
        <f>$I$7*B134/((1+$I$7)-B134)</f>
        <v>8.0385852090032142E-2</v>
      </c>
      <c r="D134" s="3">
        <f>C134*(1-$I$6) + $I$6</f>
        <v>0.15279641491758866</v>
      </c>
      <c r="E134" s="2">
        <f t="shared" si="7"/>
        <v>19</v>
      </c>
      <c r="F134" s="2">
        <f t="shared" ref="F134:F197" si="8">F133-F133*$I$5</f>
        <v>1.9068891805042256E-2</v>
      </c>
    </row>
    <row r="135" spans="1:6" x14ac:dyDescent="0.2">
      <c r="A135" s="2">
        <v>124</v>
      </c>
      <c r="B135" s="4">
        <f t="shared" si="6"/>
        <v>0.48627450980392156</v>
      </c>
      <c r="C135" s="6">
        <f>$I$7*B135/((1+$I$7)-B135)</f>
        <v>7.9233226837060702E-2</v>
      </c>
      <c r="D135" s="3">
        <f>C135*(1-$I$6) + $I$6</f>
        <v>0.15173454755855198</v>
      </c>
      <c r="E135" s="2">
        <f t="shared" si="7"/>
        <v>19</v>
      </c>
      <c r="F135" s="2">
        <f t="shared" si="8"/>
        <v>1.8496825050890987E-2</v>
      </c>
    </row>
    <row r="136" spans="1:6" x14ac:dyDescent="0.2">
      <c r="A136" s="2">
        <v>123</v>
      </c>
      <c r="B136" s="4">
        <f t="shared" si="6"/>
        <v>0.4823529411764706</v>
      </c>
      <c r="C136" s="6">
        <f>$I$7*B136/((1+$I$7)-B136)</f>
        <v>7.8095238095238106E-2</v>
      </c>
      <c r="D136" s="3">
        <f>C136*(1-$I$6) + $I$6</f>
        <v>0.15068616422947134</v>
      </c>
      <c r="E136" s="2">
        <f t="shared" si="7"/>
        <v>19</v>
      </c>
      <c r="F136" s="2">
        <f t="shared" si="8"/>
        <v>1.7941920299364259E-2</v>
      </c>
    </row>
    <row r="137" spans="1:6" x14ac:dyDescent="0.2">
      <c r="A137" s="2">
        <v>122</v>
      </c>
      <c r="B137" s="4">
        <f t="shared" si="6"/>
        <v>0.47843137254901963</v>
      </c>
      <c r="C137" s="6">
        <f>$I$7*B137/((1+$I$7)-B137)</f>
        <v>7.6971608832807584E-2</v>
      </c>
      <c r="D137" s="3">
        <f>C137*(1-$I$6) + $I$6</f>
        <v>0.14965100971211409</v>
      </c>
      <c r="E137" s="2">
        <f t="shared" si="7"/>
        <v>19</v>
      </c>
      <c r="F137" s="2">
        <f t="shared" si="8"/>
        <v>1.7403662690383331E-2</v>
      </c>
    </row>
    <row r="138" spans="1:6" x14ac:dyDescent="0.2">
      <c r="A138" s="2">
        <v>121</v>
      </c>
      <c r="B138" s="4">
        <f t="shared" si="6"/>
        <v>0.47450980392156861</v>
      </c>
      <c r="C138" s="6">
        <f>$I$7*B138/((1+$I$7)-B138)</f>
        <v>7.586206896551724E-2</v>
      </c>
      <c r="D138" s="3">
        <f>C138*(1-$I$6) + $I$6</f>
        <v>0.14862883518870484</v>
      </c>
      <c r="E138" s="2">
        <f t="shared" si="7"/>
        <v>19</v>
      </c>
      <c r="F138" s="2">
        <f t="shared" si="8"/>
        <v>1.6881552809671831E-2</v>
      </c>
    </row>
    <row r="139" spans="1:6" x14ac:dyDescent="0.2">
      <c r="A139" s="2">
        <v>120</v>
      </c>
      <c r="B139" s="4">
        <f t="shared" si="6"/>
        <v>0.47058823529411764</v>
      </c>
      <c r="C139" s="6">
        <f>$I$7*B139/((1+$I$7)-B139)</f>
        <v>7.476635514018691E-2</v>
      </c>
      <c r="D139" s="3">
        <f>C139*(1-$I$6) + $I$6</f>
        <v>0.14761939804253441</v>
      </c>
      <c r="E139" s="2">
        <f t="shared" si="7"/>
        <v>19</v>
      </c>
      <c r="F139" s="2">
        <f t="shared" si="8"/>
        <v>1.6375106225381676E-2</v>
      </c>
    </row>
    <row r="140" spans="1:6" x14ac:dyDescent="0.2">
      <c r="A140" s="2">
        <v>119</v>
      </c>
      <c r="B140" s="4">
        <f t="shared" si="6"/>
        <v>0.46666666666666667</v>
      </c>
      <c r="C140" s="6">
        <f>$I$7*B140/((1+$I$7)-B140)</f>
        <v>7.3684210526315783E-2</v>
      </c>
      <c r="D140" s="3">
        <f>C140*(1-$I$6) + $I$6</f>
        <v>0.14662246166597598</v>
      </c>
      <c r="E140" s="2">
        <f t="shared" si="7"/>
        <v>19</v>
      </c>
      <c r="F140" s="2">
        <f t="shared" si="8"/>
        <v>1.5883853038620225E-2</v>
      </c>
    </row>
    <row r="141" spans="1:6" x14ac:dyDescent="0.2">
      <c r="A141" s="2">
        <v>118</v>
      </c>
      <c r="B141" s="4">
        <f t="shared" si="6"/>
        <v>0.46274509803921571</v>
      </c>
      <c r="C141" s="6">
        <f>$I$7*B141/((1+$I$7)-B141)</f>
        <v>7.2615384615384609E-2</v>
      </c>
      <c r="D141" s="3">
        <f>C141*(1-$I$6) + $I$6</f>
        <v>0.14563779527559056</v>
      </c>
      <c r="E141" s="2">
        <f t="shared" si="7"/>
        <v>18</v>
      </c>
      <c r="F141" s="2">
        <f t="shared" si="8"/>
        <v>1.5407337447461618E-2</v>
      </c>
    </row>
    <row r="142" spans="1:6" x14ac:dyDescent="0.2">
      <c r="A142" s="2">
        <v>117</v>
      </c>
      <c r="B142" s="4">
        <f t="shared" si="6"/>
        <v>0.45882352941176469</v>
      </c>
      <c r="C142" s="6">
        <f>$I$7*B142/((1+$I$7)-B142)</f>
        <v>7.1559633027522912E-2</v>
      </c>
      <c r="D142" s="3">
        <f>C142*(1-$I$6) + $I$6</f>
        <v>0.14466517373401716</v>
      </c>
      <c r="E142" s="2">
        <f t="shared" si="7"/>
        <v>18</v>
      </c>
      <c r="F142" s="2">
        <f t="shared" si="8"/>
        <v>1.494511732403777E-2</v>
      </c>
    </row>
    <row r="143" spans="1:6" x14ac:dyDescent="0.2">
      <c r="A143" s="2">
        <v>116</v>
      </c>
      <c r="B143" s="4">
        <f t="shared" si="6"/>
        <v>0.45490196078431372</v>
      </c>
      <c r="C143" s="6">
        <f>$I$7*B143/((1+$I$7)-B143)</f>
        <v>7.0516717325227948E-2</v>
      </c>
      <c r="D143" s="3">
        <f>C143*(1-$I$6) + $I$6</f>
        <v>0.14370437737835962</v>
      </c>
      <c r="E143" s="2">
        <f t="shared" si="7"/>
        <v>18</v>
      </c>
      <c r="F143" s="2">
        <f t="shared" si="8"/>
        <v>1.4496763804316637E-2</v>
      </c>
    </row>
    <row r="144" spans="1:6" x14ac:dyDescent="0.2">
      <c r="A144" s="2">
        <v>115</v>
      </c>
      <c r="B144" s="4">
        <f t="shared" si="6"/>
        <v>0.45098039215686275</v>
      </c>
      <c r="C144" s="6">
        <f>$I$7*B144/((1+$I$7)-B144)</f>
        <v>6.9486404833836848E-2</v>
      </c>
      <c r="D144" s="3">
        <f>C144*(1-$I$6) + $I$6</f>
        <v>0.14275519185479457</v>
      </c>
      <c r="E144" s="2">
        <f t="shared" si="7"/>
        <v>18</v>
      </c>
      <c r="F144" s="2">
        <f t="shared" si="8"/>
        <v>1.4061860890187138E-2</v>
      </c>
    </row>
    <row r="145" spans="1:6" x14ac:dyDescent="0.2">
      <c r="A145" s="2">
        <v>114</v>
      </c>
      <c r="B145" s="4">
        <f t="shared" si="6"/>
        <v>0.44705882352941179</v>
      </c>
      <c r="C145" s="6">
        <f>$I$7*B145/((1+$I$7)-B145)</f>
        <v>6.8468468468468463E-2</v>
      </c>
      <c r="D145" s="3">
        <f>C145*(1-$I$6) + $I$6</f>
        <v>0.14181740795914022</v>
      </c>
      <c r="E145" s="2">
        <f t="shared" si="7"/>
        <v>18</v>
      </c>
      <c r="F145" s="2">
        <f t="shared" si="8"/>
        <v>1.3640005063481524E-2</v>
      </c>
    </row>
    <row r="146" spans="1:6" x14ac:dyDescent="0.2">
      <c r="A146" s="2">
        <v>113</v>
      </c>
      <c r="B146" s="4">
        <f t="shared" si="6"/>
        <v>0.44313725490196076</v>
      </c>
      <c r="C146" s="6">
        <f>$I$7*B146/((1+$I$7)-B146)</f>
        <v>6.7462686567164171E-2</v>
      </c>
      <c r="D146" s="3">
        <f>C146*(1-$I$6) + $I$6</f>
        <v>0.1408908214831355</v>
      </c>
      <c r="E146" s="2">
        <f t="shared" si="7"/>
        <v>18</v>
      </c>
      <c r="F146" s="2">
        <f t="shared" si="8"/>
        <v>1.3230804911577078E-2</v>
      </c>
    </row>
    <row r="147" spans="1:6" x14ac:dyDescent="0.2">
      <c r="A147" s="2">
        <v>112</v>
      </c>
      <c r="B147" s="4">
        <f t="shared" si="6"/>
        <v>0.4392156862745098</v>
      </c>
      <c r="C147" s="6">
        <f>$I$7*B147/((1+$I$7)-B147)</f>
        <v>6.6468842729970321E-2</v>
      </c>
      <c r="D147" s="3">
        <f>C147*(1-$I$6) + $I$6</f>
        <v>0.13997523306619314</v>
      </c>
      <c r="E147" s="2">
        <f t="shared" si="7"/>
        <v>18</v>
      </c>
      <c r="F147" s="2">
        <f t="shared" si="8"/>
        <v>1.2833880764229765E-2</v>
      </c>
    </row>
    <row r="148" spans="1:6" x14ac:dyDescent="0.2">
      <c r="A148" s="2">
        <v>111</v>
      </c>
      <c r="B148" s="4">
        <f t="shared" si="6"/>
        <v>0.43529411764705883</v>
      </c>
      <c r="C148" s="6">
        <f>$I$7*B148/((1+$I$7)-B148)</f>
        <v>6.5486725663716813E-2</v>
      </c>
      <c r="D148" s="3">
        <f>C148*(1-$I$6) + $I$6</f>
        <v>0.13907044805240054</v>
      </c>
      <c r="E148" s="2">
        <f t="shared" si="7"/>
        <v>18</v>
      </c>
      <c r="F148" s="2">
        <f t="shared" si="8"/>
        <v>1.2448864341302872E-2</v>
      </c>
    </row>
    <row r="149" spans="1:6" x14ac:dyDescent="0.2">
      <c r="A149" s="2">
        <v>110</v>
      </c>
      <c r="B149" s="4">
        <f t="shared" si="6"/>
        <v>0.43137254901960786</v>
      </c>
      <c r="C149" s="6">
        <f>$I$7*B149/((1+$I$7)-B149)</f>
        <v>6.4516129032258063E-2</v>
      </c>
      <c r="D149" s="3">
        <f>C149*(1-$I$6) + $I$6</f>
        <v>0.1381762763525527</v>
      </c>
      <c r="E149" s="2">
        <f t="shared" si="7"/>
        <v>18</v>
      </c>
      <c r="F149" s="2">
        <f t="shared" si="8"/>
        <v>1.2075398411063787E-2</v>
      </c>
    </row>
    <row r="150" spans="1:6" x14ac:dyDescent="0.2">
      <c r="A150" s="2">
        <v>109</v>
      </c>
      <c r="B150" s="4">
        <f t="shared" si="6"/>
        <v>0.42745098039215684</v>
      </c>
      <c r="C150" s="6">
        <f>$I$7*B150/((1+$I$7)-B150)</f>
        <v>6.355685131195335E-2</v>
      </c>
      <c r="D150" s="3">
        <f>C150*(1-$I$6) + $I$6</f>
        <v>0.13729253231101213</v>
      </c>
      <c r="E150" s="2">
        <f t="shared" si="7"/>
        <v>17</v>
      </c>
      <c r="F150" s="2">
        <f t="shared" si="8"/>
        <v>1.1713136458731873E-2</v>
      </c>
    </row>
    <row r="151" spans="1:6" x14ac:dyDescent="0.2">
      <c r="A151" s="2">
        <v>108</v>
      </c>
      <c r="B151" s="4">
        <f t="shared" si="6"/>
        <v>0.42352941176470588</v>
      </c>
      <c r="C151" s="6">
        <f>$I$7*B151/((1+$I$7)-B151)</f>
        <v>6.2608695652173918E-2</v>
      </c>
      <c r="D151" s="3">
        <f>C151*(1-$I$6) + $I$6</f>
        <v>0.13641903457719959</v>
      </c>
      <c r="E151" s="2">
        <f t="shared" si="7"/>
        <v>17</v>
      </c>
      <c r="F151" s="2">
        <f t="shared" si="8"/>
        <v>1.1361742364969916E-2</v>
      </c>
    </row>
    <row r="152" spans="1:6" x14ac:dyDescent="0.2">
      <c r="A152" s="2">
        <v>107</v>
      </c>
      <c r="B152" s="4">
        <f t="shared" si="6"/>
        <v>0.41960784313725491</v>
      </c>
      <c r="C152" s="6">
        <f>$I$7*B152/((1+$I$7)-B152)</f>
        <v>6.1671469740634005E-2</v>
      </c>
      <c r="D152" s="3">
        <f>C152*(1-$I$6) + $I$6</f>
        <v>0.13555560598152896</v>
      </c>
      <c r="E152" s="2">
        <f t="shared" si="7"/>
        <v>17</v>
      </c>
      <c r="F152" s="2">
        <f t="shared" si="8"/>
        <v>1.1020890094020819E-2</v>
      </c>
    </row>
    <row r="153" spans="1:6" x14ac:dyDescent="0.2">
      <c r="A153" s="2">
        <v>106</v>
      </c>
      <c r="B153" s="4">
        <f t="shared" si="6"/>
        <v>0.41568627450980394</v>
      </c>
      <c r="C153" s="6">
        <f>$I$7*B153/((1+$I$7)-B153)</f>
        <v>6.0744985673352438E-2</v>
      </c>
      <c r="D153" s="3">
        <f>C153*(1-$I$6) + $I$6</f>
        <v>0.13470207341560814</v>
      </c>
      <c r="E153" s="2">
        <f t="shared" si="7"/>
        <v>17</v>
      </c>
      <c r="F153" s="2">
        <f t="shared" si="8"/>
        <v>1.0690263391200194E-2</v>
      </c>
    </row>
    <row r="154" spans="1:6" x14ac:dyDescent="0.2">
      <c r="A154" s="2">
        <v>105</v>
      </c>
      <c r="B154" s="4">
        <f t="shared" si="6"/>
        <v>0.41176470588235292</v>
      </c>
      <c r="C154" s="6">
        <f>$I$7*B154/((1+$I$7)-B154)</f>
        <v>5.9829059829059818E-2</v>
      </c>
      <c r="D154" s="3">
        <f>C154*(1-$I$6) + $I$6</f>
        <v>0.13385826771653542</v>
      </c>
      <c r="E154" s="2">
        <f t="shared" si="7"/>
        <v>17</v>
      </c>
      <c r="F154" s="2">
        <f t="shared" si="8"/>
        <v>1.0369555489464189E-2</v>
      </c>
    </row>
    <row r="155" spans="1:6" x14ac:dyDescent="0.2">
      <c r="A155" s="2">
        <v>104</v>
      </c>
      <c r="B155" s="4">
        <f t="shared" si="6"/>
        <v>0.40784313725490196</v>
      </c>
      <c r="C155" s="6">
        <f>$I$7*B155/((1+$I$7)-B155)</f>
        <v>5.8923512747875349E-2</v>
      </c>
      <c r="D155" s="3">
        <f>C155*(1-$I$6) + $I$6</f>
        <v>0.13302402355512927</v>
      </c>
      <c r="E155" s="2">
        <f t="shared" si="7"/>
        <v>17</v>
      </c>
      <c r="F155" s="2">
        <f t="shared" si="8"/>
        <v>1.0058468824780262E-2</v>
      </c>
    </row>
    <row r="156" spans="1:6" x14ac:dyDescent="0.2">
      <c r="A156" s="2">
        <v>103</v>
      </c>
      <c r="B156" s="4">
        <f t="shared" si="6"/>
        <v>0.40392156862745099</v>
      </c>
      <c r="C156" s="6">
        <f>$I$7*B156/((1+$I$7)-B156)</f>
        <v>5.8028169014084509E-2</v>
      </c>
      <c r="D156" s="3">
        <f>C156*(1-$I$6) + $I$6</f>
        <v>0.13219917932793612</v>
      </c>
      <c r="E156" s="2">
        <f t="shared" si="7"/>
        <v>17</v>
      </c>
      <c r="F156" s="2">
        <f t="shared" si="8"/>
        <v>9.7567147600368543E-3</v>
      </c>
    </row>
    <row r="157" spans="1:6" x14ac:dyDescent="0.2">
      <c r="A157" s="2">
        <v>102</v>
      </c>
      <c r="B157" s="4">
        <f t="shared" si="6"/>
        <v>0.4</v>
      </c>
      <c r="C157" s="6">
        <f>$I$7*B157/((1+$I$7)-B157)</f>
        <v>5.7142857142857148E-2</v>
      </c>
      <c r="D157" s="3">
        <f>C157*(1-$I$6) + $I$6</f>
        <v>0.13138357705286841</v>
      </c>
      <c r="E157" s="2">
        <f t="shared" si="7"/>
        <v>17</v>
      </c>
      <c r="F157" s="2">
        <f t="shared" si="8"/>
        <v>9.4640133172357484E-3</v>
      </c>
    </row>
    <row r="158" spans="1:6" x14ac:dyDescent="0.2">
      <c r="A158" s="2">
        <v>101</v>
      </c>
      <c r="B158" s="4">
        <f t="shared" si="6"/>
        <v>0.396078431372549</v>
      </c>
      <c r="C158" s="6">
        <f>$I$7*B158/((1+$I$7)-B158)</f>
        <v>5.6267409470752081E-2</v>
      </c>
      <c r="D158" s="3">
        <f>C158*(1-$I$6) + $I$6</f>
        <v>0.13057706226833066</v>
      </c>
      <c r="E158" s="2">
        <f t="shared" si="7"/>
        <v>17</v>
      </c>
      <c r="F158" s="2">
        <f t="shared" si="8"/>
        <v>9.1800929177186762E-3</v>
      </c>
    </row>
    <row r="159" spans="1:6" x14ac:dyDescent="0.2">
      <c r="A159" s="2">
        <v>100</v>
      </c>
      <c r="B159" s="4">
        <f t="shared" si="6"/>
        <v>0.39215686274509803</v>
      </c>
      <c r="C159" s="6">
        <f>$I$7*B159/((1+$I$7)-B159)</f>
        <v>5.540166204986148E-2</v>
      </c>
      <c r="D159" s="3">
        <f>C159*(1-$I$6) + $I$6</f>
        <v>0.12977948393569916</v>
      </c>
      <c r="E159" s="2">
        <f t="shared" si="7"/>
        <v>16</v>
      </c>
      <c r="F159" s="2">
        <f t="shared" si="8"/>
        <v>8.9046901301871161E-3</v>
      </c>
    </row>
    <row r="160" spans="1:6" x14ac:dyDescent="0.2">
      <c r="A160" s="2">
        <v>99</v>
      </c>
      <c r="B160" s="4">
        <f t="shared" si="6"/>
        <v>0.38823529411764707</v>
      </c>
      <c r="C160" s="6">
        <f>$I$7*B160/((1+$I$7)-B160)</f>
        <v>5.4545454545454536E-2</v>
      </c>
      <c r="D160" s="3">
        <f>C160*(1-$I$6) + $I$6</f>
        <v>0.12899069434502505</v>
      </c>
      <c r="E160" s="2">
        <f t="shared" si="7"/>
        <v>16</v>
      </c>
      <c r="F160" s="2">
        <f t="shared" si="8"/>
        <v>8.6375494262815027E-3</v>
      </c>
    </row>
    <row r="161" spans="1:6" x14ac:dyDescent="0.2">
      <c r="A161" s="2">
        <v>98</v>
      </c>
      <c r="B161" s="4">
        <f t="shared" si="6"/>
        <v>0.3843137254901961</v>
      </c>
      <c r="C161" s="6">
        <f>$I$7*B161/((1+$I$7)-B161)</f>
        <v>5.3698630136986301E-2</v>
      </c>
      <c r="D161" s="3">
        <f>C161*(1-$I$6) + $I$6</f>
        <v>0.12821054902383777</v>
      </c>
      <c r="E161" s="2">
        <f t="shared" si="7"/>
        <v>16</v>
      </c>
      <c r="F161" s="2">
        <f t="shared" si="8"/>
        <v>8.3784229434930579E-3</v>
      </c>
    </row>
    <row r="162" spans="1:6" x14ac:dyDescent="0.2">
      <c r="A162" s="2">
        <v>97</v>
      </c>
      <c r="B162" s="4">
        <f t="shared" si="6"/>
        <v>0.38039215686274508</v>
      </c>
      <c r="C162" s="6">
        <f>$I$7*B162/((1+$I$7)-B162)</f>
        <v>5.2861035422343321E-2</v>
      </c>
      <c r="D162" s="3">
        <f>C162*(1-$I$6) + $I$6</f>
        <v>0.12743890664893046</v>
      </c>
      <c r="E162" s="2">
        <f t="shared" si="7"/>
        <v>16</v>
      </c>
      <c r="F162" s="2">
        <f t="shared" si="8"/>
        <v>8.1270702551882665E-3</v>
      </c>
    </row>
    <row r="163" spans="1:6" x14ac:dyDescent="0.2">
      <c r="A163" s="2">
        <v>96</v>
      </c>
      <c r="B163" s="4">
        <f t="shared" si="6"/>
        <v>0.37647058823529411</v>
      </c>
      <c r="C163" s="6">
        <f>$I$7*B163/((1+$I$7)-B163)</f>
        <v>5.2032520325203252E-2</v>
      </c>
      <c r="D163" s="3">
        <f>C163*(1-$I$6) + $I$6</f>
        <v>0.12667562896101403</v>
      </c>
      <c r="E163" s="2">
        <f t="shared" si="7"/>
        <v>16</v>
      </c>
      <c r="F163" s="2">
        <f t="shared" si="8"/>
        <v>7.8832581475326187E-3</v>
      </c>
    </row>
    <row r="164" spans="1:6" x14ac:dyDescent="0.2">
      <c r="A164" s="2">
        <v>95</v>
      </c>
      <c r="B164" s="4">
        <f t="shared" si="6"/>
        <v>0.37254901960784315</v>
      </c>
      <c r="C164" s="6">
        <f>$I$7*B164/((1+$I$7)-B164)</f>
        <v>5.1212938005390826E-2</v>
      </c>
      <c r="D164" s="3">
        <f>C164*(1-$I$6) + $I$6</f>
        <v>0.12592058068213172</v>
      </c>
      <c r="E164" s="2">
        <f t="shared" si="7"/>
        <v>16</v>
      </c>
      <c r="F164" s="2">
        <f t="shared" si="8"/>
        <v>7.6467604031066399E-3</v>
      </c>
    </row>
    <row r="165" spans="1:6" x14ac:dyDescent="0.2">
      <c r="A165" s="2">
        <v>94</v>
      </c>
      <c r="B165" s="4">
        <f t="shared" si="6"/>
        <v>0.36862745098039218</v>
      </c>
      <c r="C165" s="6">
        <f>$I$7*B165/((1+$I$7)-B165)</f>
        <v>5.0402144772117963E-2</v>
      </c>
      <c r="D165" s="3">
        <f>C165*(1-$I$6) + $I$6</f>
        <v>0.12517362943573074</v>
      </c>
      <c r="E165" s="2">
        <f t="shared" si="7"/>
        <v>16</v>
      </c>
      <c r="F165" s="2">
        <f t="shared" si="8"/>
        <v>7.4173575910134407E-3</v>
      </c>
    </row>
    <row r="166" spans="1:6" x14ac:dyDescent="0.2">
      <c r="A166" s="2">
        <v>93</v>
      </c>
      <c r="B166" s="4">
        <f t="shared" si="6"/>
        <v>0.36470588235294116</v>
      </c>
      <c r="C166" s="6">
        <f>$I$7*B166/((1+$I$7)-B166)</f>
        <v>4.9599999999999991E-2</v>
      </c>
      <c r="D166" s="3">
        <f>C166*(1-$I$6) + $I$6</f>
        <v>0.12443464566929133</v>
      </c>
      <c r="E166" s="2">
        <f t="shared" si="7"/>
        <v>16</v>
      </c>
      <c r="F166" s="2">
        <f t="shared" si="8"/>
        <v>7.1948368632830375E-3</v>
      </c>
    </row>
    <row r="167" spans="1:6" x14ac:dyDescent="0.2">
      <c r="A167" s="2">
        <v>92</v>
      </c>
      <c r="B167" s="4">
        <f t="shared" si="6"/>
        <v>0.36078431372549019</v>
      </c>
      <c r="C167" s="6">
        <f>$I$7*B167/((1+$I$7)-B167)</f>
        <v>4.880636604774536E-2</v>
      </c>
      <c r="D167" s="3">
        <f>C167*(1-$I$6) + $I$6</f>
        <v>0.12370350257941895</v>
      </c>
      <c r="E167" s="2">
        <f t="shared" si="7"/>
        <v>16</v>
      </c>
      <c r="F167" s="2">
        <f t="shared" si="8"/>
        <v>6.9789917573845461E-3</v>
      </c>
    </row>
    <row r="168" spans="1:6" x14ac:dyDescent="0.2">
      <c r="A168" s="2">
        <v>91</v>
      </c>
      <c r="B168" s="4">
        <f t="shared" si="6"/>
        <v>0.35686274509803922</v>
      </c>
      <c r="C168" s="6">
        <f>$I$7*B168/((1+$I$7)-B168)</f>
        <v>4.8021108179419528E-2</v>
      </c>
      <c r="D168" s="3">
        <f>C168*(1-$I$6) + $I$6</f>
        <v>0.12298007603930775</v>
      </c>
      <c r="E168" s="2">
        <f t="shared" si="7"/>
        <v>16</v>
      </c>
      <c r="F168" s="2">
        <f t="shared" si="8"/>
        <v>6.7696220046630099E-3</v>
      </c>
    </row>
    <row r="169" spans="1:6" x14ac:dyDescent="0.2">
      <c r="A169" s="2">
        <v>90</v>
      </c>
      <c r="B169" s="4">
        <f t="shared" si="6"/>
        <v>0.35294117647058826</v>
      </c>
      <c r="C169" s="6">
        <f>$I$7*B169/((1+$I$7)-B169)</f>
        <v>4.7244094488188983E-2</v>
      </c>
      <c r="D169" s="3">
        <f>C169*(1-$I$6) + $I$6</f>
        <v>0.12226424452848907</v>
      </c>
      <c r="E169" s="2">
        <f t="shared" si="7"/>
        <v>16</v>
      </c>
      <c r="F169" s="2">
        <f t="shared" si="8"/>
        <v>6.5665333445231195E-3</v>
      </c>
    </row>
    <row r="170" spans="1:6" x14ac:dyDescent="0.2">
      <c r="A170" s="2">
        <v>89</v>
      </c>
      <c r="B170" s="4">
        <f t="shared" si="6"/>
        <v>0.34901960784313724</v>
      </c>
      <c r="C170" s="6">
        <f>$I$7*B170/((1+$I$7)-B170)</f>
        <v>4.6475195822454303E-2</v>
      </c>
      <c r="D170" s="3">
        <f>C170*(1-$I$6) + $I$6</f>
        <v>0.12155588906478074</v>
      </c>
      <c r="E170" s="2">
        <f t="shared" si="7"/>
        <v>15</v>
      </c>
      <c r="F170" s="2">
        <f t="shared" si="8"/>
        <v>6.3695373441874257E-3</v>
      </c>
    </row>
    <row r="171" spans="1:6" x14ac:dyDescent="0.2">
      <c r="A171" s="2">
        <v>88</v>
      </c>
      <c r="B171" s="4">
        <f t="shared" si="6"/>
        <v>0.34509803921568627</v>
      </c>
      <c r="C171" s="6">
        <f>$I$7*B171/((1+$I$7)-B171)</f>
        <v>4.5714285714285707E-2</v>
      </c>
      <c r="D171" s="3">
        <f>C171*(1-$I$6) + $I$6</f>
        <v>0.12085489313835771</v>
      </c>
      <c r="E171" s="2">
        <f t="shared" si="7"/>
        <v>15</v>
      </c>
      <c r="F171" s="2">
        <f t="shared" si="8"/>
        <v>6.178451223861803E-3</v>
      </c>
    </row>
    <row r="172" spans="1:6" x14ac:dyDescent="0.2">
      <c r="A172" s="2">
        <v>87</v>
      </c>
      <c r="B172" s="4">
        <f t="shared" si="6"/>
        <v>0.3411764705882353</v>
      </c>
      <c r="C172" s="6">
        <f>$I$7*B172/((1+$I$7)-B172)</f>
        <v>4.4961240310077519E-2</v>
      </c>
      <c r="D172" s="3">
        <f>C172*(1-$I$6) + $I$6</f>
        <v>0.12016114264786669</v>
      </c>
      <c r="E172" s="2">
        <f t="shared" si="7"/>
        <v>15</v>
      </c>
      <c r="F172" s="2">
        <f t="shared" si="8"/>
        <v>5.9930976871459488E-3</v>
      </c>
    </row>
    <row r="173" spans="1:6" x14ac:dyDescent="0.2">
      <c r="A173" s="2">
        <v>86</v>
      </c>
      <c r="B173" s="4">
        <f t="shared" si="6"/>
        <v>0.33725490196078434</v>
      </c>
      <c r="C173" s="6">
        <f>$I$7*B173/((1+$I$7)-B173)</f>
        <v>4.4215938303341903E-2</v>
      </c>
      <c r="D173" s="3">
        <f>C173*(1-$I$6) + $I$6</f>
        <v>0.11947452583851184</v>
      </c>
      <c r="E173" s="2">
        <f t="shared" si="7"/>
        <v>15</v>
      </c>
      <c r="F173" s="2">
        <f t="shared" si="8"/>
        <v>5.8133047565315701E-3</v>
      </c>
    </row>
    <row r="174" spans="1:6" x14ac:dyDescent="0.2">
      <c r="A174" s="2">
        <v>85</v>
      </c>
      <c r="B174" s="4">
        <f t="shared" si="6"/>
        <v>0.33333333333333331</v>
      </c>
      <c r="C174" s="6">
        <f>$I$7*B174/((1+$I$7)-B174)</f>
        <v>4.3478260869565209E-2</v>
      </c>
      <c r="D174" s="3">
        <f>C174*(1-$I$6) + $I$6</f>
        <v>0.11879493324204039</v>
      </c>
      <c r="E174" s="2">
        <f t="shared" si="7"/>
        <v>15</v>
      </c>
      <c r="F174" s="2">
        <f t="shared" si="8"/>
        <v>5.6389056138356226E-3</v>
      </c>
    </row>
    <row r="175" spans="1:6" x14ac:dyDescent="0.2">
      <c r="A175" s="2">
        <v>84</v>
      </c>
      <c r="B175" s="4">
        <f t="shared" si="6"/>
        <v>0.32941176470588235</v>
      </c>
      <c r="C175" s="6">
        <f>$I$7*B175/((1+$I$7)-B175)</f>
        <v>4.2748091603053429E-2</v>
      </c>
      <c r="D175" s="3">
        <f>C175*(1-$I$6) + $I$6</f>
        <v>0.11812225761856103</v>
      </c>
      <c r="E175" s="2">
        <f t="shared" si="7"/>
        <v>15</v>
      </c>
      <c r="F175" s="2">
        <f t="shared" si="8"/>
        <v>5.4697384454205538E-3</v>
      </c>
    </row>
    <row r="176" spans="1:6" x14ac:dyDescent="0.2">
      <c r="A176" s="2">
        <v>83</v>
      </c>
      <c r="B176" s="4">
        <f t="shared" si="6"/>
        <v>0.32549019607843138</v>
      </c>
      <c r="C176" s="6">
        <f>$I$7*B176/((1+$I$7)-B176)</f>
        <v>4.2025316455696203E-2</v>
      </c>
      <c r="D176" s="3">
        <f>C176*(1-$I$6) + $I$6</f>
        <v>0.11745639390012957</v>
      </c>
      <c r="E176" s="2">
        <f t="shared" si="7"/>
        <v>15</v>
      </c>
      <c r="F176" s="2">
        <f t="shared" si="8"/>
        <v>5.3056462920579375E-3</v>
      </c>
    </row>
    <row r="177" spans="1:6" x14ac:dyDescent="0.2">
      <c r="A177" s="2">
        <v>82</v>
      </c>
      <c r="B177" s="4">
        <f t="shared" si="6"/>
        <v>0.32156862745098042</v>
      </c>
      <c r="C177" s="6">
        <f>$I$7*B177/((1+$I$7)-B177)</f>
        <v>4.1309823677581861E-2</v>
      </c>
      <c r="D177" s="3">
        <f>C177*(1-$I$6) + $I$6</f>
        <v>0.11679723913603998</v>
      </c>
      <c r="E177" s="2">
        <f t="shared" si="7"/>
        <v>15</v>
      </c>
      <c r="F177" s="2">
        <f t="shared" si="8"/>
        <v>5.1464769032961996E-3</v>
      </c>
    </row>
    <row r="178" spans="1:6" x14ac:dyDescent="0.2">
      <c r="A178" s="2">
        <v>81</v>
      </c>
      <c r="B178" s="4">
        <f t="shared" si="6"/>
        <v>0.31764705882352939</v>
      </c>
      <c r="C178" s="6">
        <f>$I$7*B178/((1+$I$7)-B178)</f>
        <v>4.0601503759398486E-2</v>
      </c>
      <c r="D178" s="3">
        <f>C178*(1-$I$6) + $I$6</f>
        <v>0.1161446924397608</v>
      </c>
      <c r="E178" s="2">
        <f t="shared" si="7"/>
        <v>15</v>
      </c>
      <c r="F178" s="2">
        <f t="shared" si="8"/>
        <v>4.9920825961973139E-3</v>
      </c>
    </row>
    <row r="179" spans="1:6" x14ac:dyDescent="0.2">
      <c r="A179" s="2">
        <v>80</v>
      </c>
      <c r="B179" s="4">
        <f t="shared" si="6"/>
        <v>0.31372549019607843</v>
      </c>
      <c r="C179" s="6">
        <f>$I$7*B179/((1+$I$7)-B179)</f>
        <v>3.9900249376558596E-2</v>
      </c>
      <c r="D179" s="3">
        <f>C179*(1-$I$6) + $I$6</f>
        <v>0.11549865493745949</v>
      </c>
      <c r="E179" s="2">
        <f t="shared" si="7"/>
        <v>15</v>
      </c>
      <c r="F179" s="2">
        <f t="shared" si="8"/>
        <v>4.8423201183113943E-3</v>
      </c>
    </row>
    <row r="180" spans="1:6" x14ac:dyDescent="0.2">
      <c r="A180" s="2">
        <v>79</v>
      </c>
      <c r="B180" s="4">
        <f t="shared" si="6"/>
        <v>0.30980392156862746</v>
      </c>
      <c r="C180" s="6">
        <f>$I$7*B180/((1+$I$7)-B180)</f>
        <v>3.9205955334987594E-2</v>
      </c>
      <c r="D180" s="3">
        <f>C180*(1-$I$6) + $I$6</f>
        <v>0.11485902971805945</v>
      </c>
      <c r="E180" s="2">
        <f t="shared" si="7"/>
        <v>15</v>
      </c>
      <c r="F180" s="2">
        <f t="shared" si="8"/>
        <v>4.6970505147620528E-3</v>
      </c>
    </row>
    <row r="181" spans="1:6" x14ac:dyDescent="0.2">
      <c r="A181" s="2">
        <v>78</v>
      </c>
      <c r="B181" s="4">
        <f t="shared" si="6"/>
        <v>0.30588235294117649</v>
      </c>
      <c r="C181" s="6">
        <f>$I$7*B181/((1+$I$7)-B181)</f>
        <v>3.8518518518518521E-2</v>
      </c>
      <c r="D181" s="3">
        <f>C181*(1-$I$6) + $I$6</f>
        <v>0.11422572178477691</v>
      </c>
      <c r="E181" s="2">
        <f t="shared" si="7"/>
        <v>15</v>
      </c>
      <c r="F181" s="2">
        <f t="shared" si="8"/>
        <v>4.5561389993191911E-3</v>
      </c>
    </row>
    <row r="182" spans="1:6" x14ac:dyDescent="0.2">
      <c r="A182" s="2">
        <v>77</v>
      </c>
      <c r="B182" s="4">
        <f t="shared" si="6"/>
        <v>0.30196078431372547</v>
      </c>
      <c r="C182" s="6">
        <f>$I$7*B182/((1+$I$7)-B182)</f>
        <v>3.783783783783784E-2</v>
      </c>
      <c r="D182" s="3">
        <f>C182*(1-$I$6) + $I$6</f>
        <v>0.11359863800808684</v>
      </c>
      <c r="E182" s="2">
        <f t="shared" si="7"/>
        <v>14</v>
      </c>
      <c r="F182" s="2">
        <f t="shared" si="8"/>
        <v>4.4194548293396158E-3</v>
      </c>
    </row>
    <row r="183" spans="1:6" x14ac:dyDescent="0.2">
      <c r="A183" s="2">
        <v>76</v>
      </c>
      <c r="B183" s="4">
        <f t="shared" si="6"/>
        <v>0.29803921568627451</v>
      </c>
      <c r="C183" s="6">
        <f>$I$7*B183/((1+$I$7)-B183)</f>
        <v>3.7163814180929094E-2</v>
      </c>
      <c r="D183" s="3">
        <f>C183*(1-$I$6) + $I$6</f>
        <v>0.11297768708006853</v>
      </c>
      <c r="E183" s="2">
        <f t="shared" si="7"/>
        <v>14</v>
      </c>
      <c r="F183" s="2">
        <f t="shared" si="8"/>
        <v>4.2868711844594272E-3</v>
      </c>
    </row>
    <row r="184" spans="1:6" x14ac:dyDescent="0.2">
      <c r="A184" s="2">
        <v>75</v>
      </c>
      <c r="B184" s="4">
        <f t="shared" si="6"/>
        <v>0.29411764705882354</v>
      </c>
      <c r="C184" s="6">
        <f>$I$7*B184/((1+$I$7)-B184)</f>
        <v>3.6496350364963508E-2</v>
      </c>
      <c r="D184" s="3">
        <f>C184*(1-$I$6) + $I$6</f>
        <v>0.1123627794700845</v>
      </c>
      <c r="E184" s="2">
        <f t="shared" si="7"/>
        <v>14</v>
      </c>
      <c r="F184" s="2">
        <f t="shared" si="8"/>
        <v>4.1582650489256443E-3</v>
      </c>
    </row>
    <row r="185" spans="1:6" x14ac:dyDescent="0.2">
      <c r="A185" s="2">
        <v>74</v>
      </c>
      <c r="B185" s="4">
        <f t="shared" si="6"/>
        <v>0.29019607843137257</v>
      </c>
      <c r="C185" s="6">
        <f>$I$7*B185/((1+$I$7)-B185)</f>
        <v>3.583535108958838E-2</v>
      </c>
      <c r="D185" s="3">
        <f>C185*(1-$I$6) + $I$6</f>
        <v>0.11175382738174677</v>
      </c>
      <c r="E185" s="2">
        <f t="shared" si="7"/>
        <v>14</v>
      </c>
      <c r="F185" s="2">
        <f t="shared" si="8"/>
        <v>4.0335170974578746E-3</v>
      </c>
    </row>
    <row r="186" spans="1:6" x14ac:dyDescent="0.2">
      <c r="A186" s="2">
        <v>73</v>
      </c>
      <c r="B186" s="4">
        <f t="shared" si="6"/>
        <v>0.28627450980392155</v>
      </c>
      <c r="C186" s="6">
        <f>$I$7*B186/((1+$I$7)-B186)</f>
        <v>3.5180722891566256E-2</v>
      </c>
      <c r="D186" s="3">
        <f>C186*(1-$I$6) + $I$6</f>
        <v>0.11115074471112796</v>
      </c>
      <c r="E186" s="2">
        <f t="shared" si="7"/>
        <v>14</v>
      </c>
      <c r="F186" s="2">
        <f t="shared" si="8"/>
        <v>3.9125115845341386E-3</v>
      </c>
    </row>
    <row r="187" spans="1:6" x14ac:dyDescent="0.2">
      <c r="A187" s="2">
        <v>72</v>
      </c>
      <c r="B187" s="4">
        <f t="shared" si="6"/>
        <v>0.28235294117647058</v>
      </c>
      <c r="C187" s="6">
        <f>$I$7*B187/((1+$I$7)-B187)</f>
        <v>3.4532374100719423E-2</v>
      </c>
      <c r="D187" s="3">
        <f>C187*(1-$I$6) + $I$6</f>
        <v>0.11055344700617459</v>
      </c>
      <c r="E187" s="2">
        <f t="shared" si="7"/>
        <v>14</v>
      </c>
      <c r="F187" s="2">
        <f t="shared" si="8"/>
        <v>3.7951362369981144E-3</v>
      </c>
    </row>
    <row r="188" spans="1:6" x14ac:dyDescent="0.2">
      <c r="A188" s="2">
        <v>71</v>
      </c>
      <c r="B188" s="4">
        <f t="shared" si="6"/>
        <v>0.27843137254901962</v>
      </c>
      <c r="C188" s="6">
        <f>$I$7*B188/((1+$I$7)-B188)</f>
        <v>3.389021479713604E-2</v>
      </c>
      <c r="D188" s="3">
        <f>C188*(1-$I$6) + $I$6</f>
        <v>0.10996185142728281</v>
      </c>
      <c r="E188" s="2">
        <f t="shared" si="7"/>
        <v>14</v>
      </c>
      <c r="F188" s="2">
        <f t="shared" si="8"/>
        <v>3.681282149888171E-3</v>
      </c>
    </row>
    <row r="189" spans="1:6" x14ac:dyDescent="0.2">
      <c r="A189" s="2">
        <v>70</v>
      </c>
      <c r="B189" s="4">
        <f t="shared" si="6"/>
        <v>0.27450980392156865</v>
      </c>
      <c r="C189" s="6">
        <f>$I$7*B189/((1+$I$7)-B189)</f>
        <v>3.3254156769596199E-2</v>
      </c>
      <c r="D189" s="3">
        <f>C189*(1-$I$6) + $I$6</f>
        <v>0.10937587670899807</v>
      </c>
      <c r="E189" s="2">
        <f t="shared" si="7"/>
        <v>14</v>
      </c>
      <c r="F189" s="2">
        <f t="shared" si="8"/>
        <v>3.5708436853915258E-3</v>
      </c>
    </row>
    <row r="190" spans="1:6" x14ac:dyDescent="0.2">
      <c r="A190" s="2">
        <v>69</v>
      </c>
      <c r="B190" s="4">
        <f t="shared" si="6"/>
        <v>0.27058823529411763</v>
      </c>
      <c r="C190" s="6">
        <f>$I$7*B190/((1+$I$7)-B190)</f>
        <v>3.2624113475177297E-2</v>
      </c>
      <c r="D190" s="3">
        <f>C190*(1-$I$6) + $I$6</f>
        <v>0.10879544312280114</v>
      </c>
      <c r="E190" s="2">
        <f t="shared" si="7"/>
        <v>14</v>
      </c>
      <c r="F190" s="2">
        <f t="shared" si="8"/>
        <v>3.4637183748297802E-3</v>
      </c>
    </row>
    <row r="191" spans="1:6" x14ac:dyDescent="0.2">
      <c r="A191" s="2">
        <v>68</v>
      </c>
      <c r="B191" s="4">
        <f t="shared" si="6"/>
        <v>0.26666666666666666</v>
      </c>
      <c r="C191" s="6">
        <f>$I$7*B191/((1+$I$7)-B191)</f>
        <v>3.1999999999999994E-2</v>
      </c>
      <c r="D191" s="3">
        <f>C191*(1-$I$6) + $I$6</f>
        <v>0.10822047244094488</v>
      </c>
      <c r="E191" s="2">
        <f t="shared" si="7"/>
        <v>14</v>
      </c>
      <c r="F191" s="2">
        <f t="shared" si="8"/>
        <v>3.3598068235848868E-3</v>
      </c>
    </row>
    <row r="192" spans="1:6" x14ac:dyDescent="0.2">
      <c r="A192" s="2">
        <v>67</v>
      </c>
      <c r="B192" s="4">
        <f t="shared" si="6"/>
        <v>0.2627450980392157</v>
      </c>
      <c r="C192" s="6">
        <f>$I$7*B192/((1+$I$7)-B192)</f>
        <v>3.1381733021077281E-2</v>
      </c>
      <c r="D192" s="3">
        <f>C192*(1-$I$6) + $I$6</f>
        <v>0.10765088790130742</v>
      </c>
      <c r="E192" s="2">
        <f t="shared" si="7"/>
        <v>14</v>
      </c>
      <c r="F192" s="2">
        <f t="shared" si="8"/>
        <v>3.2590126188773404E-3</v>
      </c>
    </row>
    <row r="193" spans="1:6" x14ac:dyDescent="0.2">
      <c r="A193" s="2">
        <v>66</v>
      </c>
      <c r="B193" s="4">
        <f t="shared" si="6"/>
        <v>0.25882352941176473</v>
      </c>
      <c r="C193" s="6">
        <f>$I$7*B193/((1+$I$7)-B193)</f>
        <v>3.0769230769230771E-2</v>
      </c>
      <c r="D193" s="3">
        <f>C193*(1-$I$6) + $I$6</f>
        <v>0.10708661417322834</v>
      </c>
      <c r="E193" s="2">
        <f t="shared" si="7"/>
        <v>14</v>
      </c>
      <c r="F193" s="2">
        <f t="shared" si="8"/>
        <v>3.1612422403110201E-3</v>
      </c>
    </row>
    <row r="194" spans="1:6" x14ac:dyDescent="0.2">
      <c r="A194" s="2">
        <v>65</v>
      </c>
      <c r="B194" s="4">
        <f t="shared" si="6"/>
        <v>0.25490196078431371</v>
      </c>
      <c r="C194" s="6">
        <f>$I$7*B194/((1+$I$7)-B194)</f>
        <v>3.0162412993039438E-2</v>
      </c>
      <c r="D194" s="3">
        <f>C194*(1-$I$6) + $I$6</f>
        <v>0.10652757732429617</v>
      </c>
      <c r="E194" s="2">
        <f t="shared" si="7"/>
        <v>14</v>
      </c>
      <c r="F194" s="2">
        <f t="shared" si="8"/>
        <v>3.0664049731016895E-3</v>
      </c>
    </row>
    <row r="195" spans="1:6" x14ac:dyDescent="0.2">
      <c r="A195" s="2">
        <v>64</v>
      </c>
      <c r="B195" s="4">
        <f t="shared" si="6"/>
        <v>0.25098039215686274</v>
      </c>
      <c r="C195" s="6">
        <f>$I$7*B195/((1+$I$7)-B195)</f>
        <v>2.9561200923787528E-2</v>
      </c>
      <c r="D195" s="3">
        <f>C195*(1-$I$6) + $I$6</f>
        <v>0.10597370478805623</v>
      </c>
      <c r="E195" s="2">
        <f t="shared" si="7"/>
        <v>13</v>
      </c>
      <c r="F195" s="2">
        <f t="shared" si="8"/>
        <v>2.9744128239086389E-3</v>
      </c>
    </row>
    <row r="196" spans="1:6" x14ac:dyDescent="0.2">
      <c r="A196" s="2">
        <v>63</v>
      </c>
      <c r="B196" s="4">
        <f t="shared" si="6"/>
        <v>0.24705882352941178</v>
      </c>
      <c r="C196" s="6">
        <f>$I$7*B196/((1+$I$7)-B196)</f>
        <v>2.8965517241379309E-2</v>
      </c>
      <c r="D196" s="3">
        <f>C196*(1-$I$6) + $I$6</f>
        <v>0.10542492533260928</v>
      </c>
      <c r="E196" s="2">
        <f t="shared" si="7"/>
        <v>13</v>
      </c>
      <c r="F196" s="2">
        <f t="shared" si="8"/>
        <v>2.8851804391913797E-3</v>
      </c>
    </row>
    <row r="197" spans="1:6" x14ac:dyDescent="0.2">
      <c r="A197" s="2">
        <v>62</v>
      </c>
      <c r="B197" s="4">
        <f t="shared" ref="B197:B259" si="9">A197/255</f>
        <v>0.24313725490196078</v>
      </c>
      <c r="C197" s="6">
        <f>$I$7*B197/((1+$I$7)-B197)</f>
        <v>2.837528604118993E-2</v>
      </c>
      <c r="D197" s="3">
        <f>C197*(1-$I$6) + $I$6</f>
        <v>0.10488116903007261</v>
      </c>
      <c r="E197" s="2">
        <f t="shared" ref="E197:E259" si="10">ROUND(D197*127,0)</f>
        <v>13</v>
      </c>
      <c r="F197" s="2">
        <f t="shared" si="8"/>
        <v>2.7986250260156383E-3</v>
      </c>
    </row>
    <row r="198" spans="1:6" x14ac:dyDescent="0.2">
      <c r="A198" s="2">
        <v>61</v>
      </c>
      <c r="B198" s="4">
        <f t="shared" si="9"/>
        <v>0.23921568627450981</v>
      </c>
      <c r="C198" s="6">
        <f>$I$7*B198/((1+$I$7)-B198)</f>
        <v>2.7790432801822328E-2</v>
      </c>
      <c r="D198" s="3">
        <f>C198*(1-$I$6) + $I$6</f>
        <v>0.10434236722687569</v>
      </c>
      <c r="E198" s="2">
        <f t="shared" si="10"/>
        <v>13</v>
      </c>
      <c r="F198" s="2">
        <f t="shared" ref="F198:F259" si="11">F197-F197*$I$5</f>
        <v>2.714666275235169E-3</v>
      </c>
    </row>
    <row r="199" spans="1:6" x14ac:dyDescent="0.2">
      <c r="A199" s="2">
        <v>60</v>
      </c>
      <c r="B199" s="4">
        <f t="shared" si="9"/>
        <v>0.23529411764705882</v>
      </c>
      <c r="C199" s="6">
        <f>$I$7*B199/((1+$I$7)-B199)</f>
        <v>2.7210884353741496E-2</v>
      </c>
      <c r="D199" s="3">
        <f>C199*(1-$I$6) + $I$6</f>
        <v>0.10380845251486422</v>
      </c>
      <c r="E199" s="2">
        <f t="shared" si="10"/>
        <v>13</v>
      </c>
      <c r="F199" s="2">
        <f t="shared" si="11"/>
        <v>2.6332262869781138E-3</v>
      </c>
    </row>
    <row r="200" spans="1:6" x14ac:dyDescent="0.2">
      <c r="A200" s="2">
        <v>59</v>
      </c>
      <c r="B200" s="4">
        <f t="shared" si="9"/>
        <v>0.23137254901960785</v>
      </c>
      <c r="C200" s="6">
        <f>$I$7*B200/((1+$I$7)-B200)</f>
        <v>2.6636568848758466E-2</v>
      </c>
      <c r="D200" s="3">
        <f>C200*(1-$I$6) + $I$6</f>
        <v>0.10327935870318694</v>
      </c>
      <c r="E200" s="2">
        <f t="shared" si="10"/>
        <v>13</v>
      </c>
      <c r="F200" s="2">
        <f t="shared" si="11"/>
        <v>2.5542294983687706E-3</v>
      </c>
    </row>
    <row r="201" spans="1:6" x14ac:dyDescent="0.2">
      <c r="A201" s="2">
        <v>58</v>
      </c>
      <c r="B201" s="4">
        <f t="shared" si="9"/>
        <v>0.22745098039215686</v>
      </c>
      <c r="C201" s="6">
        <f>$I$7*B201/((1+$I$7)-B201)</f>
        <v>2.6067415730337076E-2</v>
      </c>
      <c r="D201" s="3">
        <f>C201*(1-$I$6) + $I$6</f>
        <v>0.10275502079094045</v>
      </c>
      <c r="E201" s="2">
        <f t="shared" si="10"/>
        <v>13</v>
      </c>
      <c r="F201" s="2">
        <f t="shared" si="11"/>
        <v>2.4776026134177074E-3</v>
      </c>
    </row>
    <row r="202" spans="1:6" x14ac:dyDescent="0.2">
      <c r="A202" s="2">
        <v>57</v>
      </c>
      <c r="B202" s="4">
        <f t="shared" si="9"/>
        <v>0.22352941176470589</v>
      </c>
      <c r="C202" s="6">
        <f>$I$7*B202/((1+$I$7)-B202)</f>
        <v>2.5503355704697986E-2</v>
      </c>
      <c r="D202" s="3">
        <f>C202*(1-$I$6) + $I$6</f>
        <v>0.10223537494054855</v>
      </c>
      <c r="E202" s="2">
        <f t="shared" si="10"/>
        <v>13</v>
      </c>
      <c r="F202" s="2">
        <f t="shared" si="11"/>
        <v>2.4032745350151762E-3</v>
      </c>
    </row>
    <row r="203" spans="1:6" x14ac:dyDescent="0.2">
      <c r="A203" s="2">
        <v>56</v>
      </c>
      <c r="B203" s="4">
        <f t="shared" si="9"/>
        <v>0.2196078431372549</v>
      </c>
      <c r="C203" s="6">
        <f>$I$7*B203/((1+$I$7)-B203)</f>
        <v>2.4944320712694874E-2</v>
      </c>
      <c r="D203" s="3">
        <f>C203*(1-$I$6) + $I$6</f>
        <v>0.10172035845185276</v>
      </c>
      <c r="E203" s="2">
        <f t="shared" si="10"/>
        <v>13</v>
      </c>
      <c r="F203" s="2">
        <f t="shared" si="11"/>
        <v>2.3311762989647209E-3</v>
      </c>
    </row>
    <row r="204" spans="1:6" x14ac:dyDescent="0.2">
      <c r="A204" s="2">
        <v>55</v>
      </c>
      <c r="B204" s="4">
        <f t="shared" si="9"/>
        <v>0.21568627450980393</v>
      </c>
      <c r="C204" s="6">
        <f>$I$7*B204/((1+$I$7)-B204)</f>
        <v>2.4390243902439025E-2</v>
      </c>
      <c r="D204" s="3">
        <f>C204*(1-$I$6) + $I$6</f>
        <v>0.10120990973689264</v>
      </c>
      <c r="E204" s="2">
        <f t="shared" si="10"/>
        <v>13</v>
      </c>
      <c r="F204" s="2">
        <f t="shared" si="11"/>
        <v>2.2612410099957791E-3</v>
      </c>
    </row>
    <row r="205" spans="1:6" x14ac:dyDescent="0.2">
      <c r="A205" s="2">
        <v>54</v>
      </c>
      <c r="B205" s="4">
        <f t="shared" si="9"/>
        <v>0.21176470588235294</v>
      </c>
      <c r="C205" s="6">
        <f>$I$7*B205/((1+$I$7)-B205)</f>
        <v>2.3841059602649008E-2</v>
      </c>
      <c r="D205" s="3">
        <f>C205*(1-$I$6) + $I$6</f>
        <v>0.1007039682953538</v>
      </c>
      <c r="E205" s="2">
        <f t="shared" si="10"/>
        <v>13</v>
      </c>
      <c r="F205" s="2">
        <f t="shared" si="11"/>
        <v>2.1934037796959059E-3</v>
      </c>
    </row>
    <row r="206" spans="1:6" x14ac:dyDescent="0.2">
      <c r="A206" s="2">
        <v>53</v>
      </c>
      <c r="B206" s="4">
        <f t="shared" si="9"/>
        <v>0.20784313725490197</v>
      </c>
      <c r="C206" s="6">
        <f>$I$7*B206/((1+$I$7)-B206)</f>
        <v>2.3296703296703296E-2</v>
      </c>
      <c r="D206" s="3">
        <f>C206*(1-$I$6) + $I$6</f>
        <v>0.10020247469066366</v>
      </c>
      <c r="E206" s="2">
        <f t="shared" si="10"/>
        <v>13</v>
      </c>
      <c r="F206" s="2">
        <f t="shared" si="11"/>
        <v>2.1276016663050287E-3</v>
      </c>
    </row>
    <row r="207" spans="1:6" x14ac:dyDescent="0.2">
      <c r="A207" s="2">
        <v>52</v>
      </c>
      <c r="B207" s="4">
        <f t="shared" si="9"/>
        <v>0.20392156862745098</v>
      </c>
      <c r="C207" s="6">
        <f>$I$7*B207/((1+$I$7)-B207)</f>
        <v>2.2757111597374178E-2</v>
      </c>
      <c r="D207" s="3">
        <f>C207*(1-$I$6) + $I$6</f>
        <v>9.9705370526714798E-2</v>
      </c>
      <c r="E207" s="2">
        <f t="shared" si="10"/>
        <v>13</v>
      </c>
      <c r="F207" s="2">
        <f t="shared" si="11"/>
        <v>2.0637736163158778E-3</v>
      </c>
    </row>
    <row r="208" spans="1:6" x14ac:dyDescent="0.2">
      <c r="A208" s="2">
        <v>51</v>
      </c>
      <c r="B208" s="4">
        <f t="shared" si="9"/>
        <v>0.2</v>
      </c>
      <c r="C208" s="6">
        <f>$I$7*B208/((1+$I$7)-B208)</f>
        <v>2.2222222222222223E-2</v>
      </c>
      <c r="D208" s="3">
        <f>C208*(1-$I$6) + $I$6</f>
        <v>9.9212598425196849E-2</v>
      </c>
      <c r="E208" s="2">
        <f t="shared" si="10"/>
        <v>13</v>
      </c>
      <c r="F208" s="2">
        <f t="shared" si="11"/>
        <v>2.0018604078264014E-3</v>
      </c>
    </row>
    <row r="209" spans="1:6" x14ac:dyDescent="0.2">
      <c r="A209" s="2">
        <v>50</v>
      </c>
      <c r="B209" s="4">
        <f t="shared" si="9"/>
        <v>0.19607843137254902</v>
      </c>
      <c r="C209" s="6">
        <f>$I$7*B209/((1+$I$7)-B209)</f>
        <v>2.1691973969631233E-2</v>
      </c>
      <c r="D209" s="3">
        <f>C209*(1-$I$6) + $I$6</f>
        <v>9.8724102003518541E-2</v>
      </c>
      <c r="E209" s="2">
        <f t="shared" si="10"/>
        <v>13</v>
      </c>
      <c r="F209" s="2">
        <f t="shared" si="11"/>
        <v>1.9418045955916093E-3</v>
      </c>
    </row>
    <row r="210" spans="1:6" x14ac:dyDescent="0.2">
      <c r="A210" s="2">
        <v>49</v>
      </c>
      <c r="B210" s="4">
        <f t="shared" si="9"/>
        <v>0.19215686274509805</v>
      </c>
      <c r="C210" s="6">
        <f>$I$7*B210/((1+$I$7)-B210)</f>
        <v>2.1166306695464362E-2</v>
      </c>
      <c r="D210" s="3">
        <f>C210*(1-$I$6) + $I$6</f>
        <v>9.8239825853301821E-2</v>
      </c>
      <c r="E210" s="2">
        <f t="shared" si="10"/>
        <v>12</v>
      </c>
      <c r="F210" s="2">
        <f t="shared" si="11"/>
        <v>1.8835504577238611E-3</v>
      </c>
    </row>
    <row r="211" spans="1:6" x14ac:dyDescent="0.2">
      <c r="A211" s="2">
        <v>48</v>
      </c>
      <c r="B211" s="4">
        <f t="shared" si="9"/>
        <v>0.18823529411764706</v>
      </c>
      <c r="C211" s="6">
        <f>$I$7*B211/((1+$I$7)-B211)</f>
        <v>2.0645161290322581E-2</v>
      </c>
      <c r="D211" s="3">
        <f>C211*(1-$I$6) + $I$6</f>
        <v>9.7759715519431037E-2</v>
      </c>
      <c r="E211" s="2">
        <f t="shared" si="10"/>
        <v>12</v>
      </c>
      <c r="F211" s="2">
        <f t="shared" si="11"/>
        <v>1.8270439439921453E-3</v>
      </c>
    </row>
    <row r="212" spans="1:6" x14ac:dyDescent="0.2">
      <c r="A212" s="2">
        <v>47</v>
      </c>
      <c r="B212" s="4">
        <f t="shared" si="9"/>
        <v>0.18431372549019609</v>
      </c>
      <c r="C212" s="6">
        <f>$I$7*B212/((1+$I$7)-B212)</f>
        <v>2.012847965738758E-2</v>
      </c>
      <c r="D212" s="3">
        <f>C212*(1-$I$6) + $I$6</f>
        <v>9.7283717479640527E-2</v>
      </c>
      <c r="E212" s="2">
        <f t="shared" si="10"/>
        <v>12</v>
      </c>
      <c r="F212" s="2">
        <f t="shared" si="11"/>
        <v>1.772232625672381E-3</v>
      </c>
    </row>
    <row r="213" spans="1:6" x14ac:dyDescent="0.2">
      <c r="A213" s="2">
        <v>46</v>
      </c>
      <c r="B213" s="4">
        <f t="shared" si="9"/>
        <v>0.1803921568627451</v>
      </c>
      <c r="C213" s="6">
        <f>$I$7*B213/((1+$I$7)-B213)</f>
        <v>1.9616204690831557E-2</v>
      </c>
      <c r="D213" s="3">
        <f>C213*(1-$I$6) + $I$6</f>
        <v>9.6811779124624353E-2</v>
      </c>
      <c r="E213" s="2">
        <f t="shared" si="10"/>
        <v>12</v>
      </c>
      <c r="F213" s="2">
        <f t="shared" si="11"/>
        <v>1.7190656469022096E-3</v>
      </c>
    </row>
    <row r="214" spans="1:6" x14ac:dyDescent="0.2">
      <c r="A214" s="2">
        <v>45</v>
      </c>
      <c r="B214" s="4">
        <f t="shared" si="9"/>
        <v>0.17647058823529413</v>
      </c>
      <c r="C214" s="6">
        <f>$I$7*B214/((1+$I$7)-B214)</f>
        <v>1.9108280254777073E-2</v>
      </c>
      <c r="D214" s="3">
        <f>C214*(1-$I$6) + $I$6</f>
        <v>9.6343848738652899E-2</v>
      </c>
      <c r="E214" s="2">
        <f t="shared" si="10"/>
        <v>12</v>
      </c>
      <c r="F214" s="2">
        <f t="shared" si="11"/>
        <v>1.6674936774951432E-3</v>
      </c>
    </row>
    <row r="215" spans="1:6" x14ac:dyDescent="0.2">
      <c r="A215" s="2">
        <v>44</v>
      </c>
      <c r="B215" s="4">
        <f t="shared" si="9"/>
        <v>0.17254901960784313</v>
      </c>
      <c r="C215" s="6">
        <f>$I$7*B215/((1+$I$7)-B215)</f>
        <v>1.8604651162790697E-2</v>
      </c>
      <c r="D215" s="3">
        <f>C215*(1-$I$6) + $I$6</f>
        <v>9.5879875480681193E-2</v>
      </c>
      <c r="E215" s="2">
        <f t="shared" si="10"/>
        <v>12</v>
      </c>
      <c r="F215" s="2">
        <f t="shared" si="11"/>
        <v>1.6174688671702889E-3</v>
      </c>
    </row>
    <row r="216" spans="1:6" x14ac:dyDescent="0.2">
      <c r="A216" s="2">
        <v>43</v>
      </c>
      <c r="B216" s="4">
        <f t="shared" si="9"/>
        <v>0.16862745098039217</v>
      </c>
      <c r="C216" s="6">
        <f>$I$7*B216/((1+$I$7)-B216)</f>
        <v>1.8105263157894739E-2</v>
      </c>
      <c r="D216" s="3">
        <f>C216*(1-$I$6) + $I$6</f>
        <v>9.5419809365934527E-2</v>
      </c>
      <c r="E216" s="2">
        <f t="shared" si="10"/>
        <v>12</v>
      </c>
      <c r="F216" s="2">
        <f t="shared" si="11"/>
        <v>1.5689448011551802E-3</v>
      </c>
    </row>
    <row r="217" spans="1:6" x14ac:dyDescent="0.2">
      <c r="A217" s="2">
        <v>42</v>
      </c>
      <c r="B217" s="4">
        <f t="shared" si="9"/>
        <v>0.16470588235294117</v>
      </c>
      <c r="C217" s="6">
        <f>$I$7*B217/((1+$I$7)-B217)</f>
        <v>1.7610062893081761E-2</v>
      </c>
      <c r="D217" s="3">
        <f>C217*(1-$I$6) + $I$6</f>
        <v>9.4963601247957219E-2</v>
      </c>
      <c r="E217" s="2">
        <f t="shared" si="10"/>
        <v>12</v>
      </c>
      <c r="F217" s="2">
        <f t="shared" si="11"/>
        <v>1.5218764571205249E-3</v>
      </c>
    </row>
    <row r="218" spans="1:6" x14ac:dyDescent="0.2">
      <c r="A218" s="2">
        <v>41</v>
      </c>
      <c r="B218" s="4">
        <f t="shared" si="9"/>
        <v>0.16078431372549021</v>
      </c>
      <c r="C218" s="6">
        <f>$I$7*B218/((1+$I$7)-B218)</f>
        <v>1.7118997912317326E-2</v>
      </c>
      <c r="D218" s="3">
        <f>C218*(1-$I$6) + $I$6</f>
        <v>9.4511202801111235E-2</v>
      </c>
      <c r="E218" s="2">
        <f t="shared" si="10"/>
        <v>12</v>
      </c>
      <c r="F218" s="2">
        <f t="shared" si="11"/>
        <v>1.4762201634069092E-3</v>
      </c>
    </row>
    <row r="219" spans="1:6" x14ac:dyDescent="0.2">
      <c r="A219" s="2">
        <v>40</v>
      </c>
      <c r="B219" s="4">
        <f t="shared" si="9"/>
        <v>0.15686274509803921</v>
      </c>
      <c r="C219" s="6">
        <f>$I$7*B219/((1+$I$7)-B219)</f>
        <v>1.6632016632016629E-2</v>
      </c>
      <c r="D219" s="3">
        <f>C219*(1-$I$6) + $I$6</f>
        <v>9.4062566503511386E-2</v>
      </c>
      <c r="E219" s="2">
        <f t="shared" si="10"/>
        <v>12</v>
      </c>
      <c r="F219" s="2">
        <f t="shared" si="11"/>
        <v>1.4319335585047019E-3</v>
      </c>
    </row>
    <row r="220" spans="1:6" x14ac:dyDescent="0.2">
      <c r="A220" s="2">
        <v>39</v>
      </c>
      <c r="B220" s="4">
        <f t="shared" si="9"/>
        <v>0.15294117647058825</v>
      </c>
      <c r="C220" s="6">
        <f>$I$7*B220/((1+$I$7)-B220)</f>
        <v>1.6149068322981366E-2</v>
      </c>
      <c r="D220" s="3">
        <f>C220*(1-$I$6) + $I$6</f>
        <v>9.361764562038441E-2</v>
      </c>
      <c r="E220" s="2">
        <f t="shared" si="10"/>
        <v>12</v>
      </c>
      <c r="F220" s="2">
        <f t="shared" si="11"/>
        <v>1.3889755517495609E-3</v>
      </c>
    </row>
    <row r="221" spans="1:6" x14ac:dyDescent="0.2">
      <c r="A221" s="2">
        <v>38</v>
      </c>
      <c r="B221" s="4">
        <f t="shared" si="9"/>
        <v>0.14901960784313725</v>
      </c>
      <c r="C221" s="6">
        <f>$I$7*B221/((1+$I$7)-B221)</f>
        <v>1.5670103092783504E-2</v>
      </c>
      <c r="D221" s="3">
        <f>C221*(1-$I$6) + $I$6</f>
        <v>9.317639418783992E-2</v>
      </c>
      <c r="E221" s="2">
        <f t="shared" si="10"/>
        <v>12</v>
      </c>
      <c r="F221" s="2">
        <f t="shared" si="11"/>
        <v>1.3473062851970742E-3</v>
      </c>
    </row>
    <row r="222" spans="1:6" x14ac:dyDescent="0.2">
      <c r="A222" s="2">
        <v>37</v>
      </c>
      <c r="B222" s="4">
        <f t="shared" si="9"/>
        <v>0.14509803921568629</v>
      </c>
      <c r="C222" s="6">
        <f>$I$7*B222/((1+$I$7)-B222)</f>
        <v>1.5195071868583163E-2</v>
      </c>
      <c r="D222" s="3">
        <f>C222*(1-$I$6) + $I$6</f>
        <v>9.2738766997041186E-2</v>
      </c>
      <c r="E222" s="2">
        <f t="shared" si="10"/>
        <v>12</v>
      </c>
      <c r="F222" s="2">
        <f t="shared" si="11"/>
        <v>1.3068870966411619E-3</v>
      </c>
    </row>
    <row r="223" spans="1:6" x14ac:dyDescent="0.2">
      <c r="A223" s="2">
        <v>36</v>
      </c>
      <c r="B223" s="4">
        <f t="shared" si="9"/>
        <v>0.14117647058823529</v>
      </c>
      <c r="C223" s="6">
        <f>$I$7*B223/((1+$I$7)-B223)</f>
        <v>1.4723926380368096E-2</v>
      </c>
      <c r="D223" s="3">
        <f>C223*(1-$I$6) + $I$6</f>
        <v>9.2304719578764308E-2</v>
      </c>
      <c r="E223" s="2">
        <f t="shared" si="10"/>
        <v>12</v>
      </c>
      <c r="F223" s="2">
        <f t="shared" si="11"/>
        <v>1.2676804837419271E-3</v>
      </c>
    </row>
    <row r="224" spans="1:6" x14ac:dyDescent="0.2">
      <c r="A224" s="2">
        <v>35</v>
      </c>
      <c r="B224" s="4">
        <f t="shared" si="9"/>
        <v>0.13725490196078433</v>
      </c>
      <c r="C224" s="6">
        <f>$I$7*B224/((1+$I$7)-B224)</f>
        <v>1.425661914460285E-2</v>
      </c>
      <c r="D224" s="3">
        <f>C224*(1-$I$6) + $I$6</f>
        <v>9.1874208188334916E-2</v>
      </c>
      <c r="E224" s="2">
        <f t="shared" si="10"/>
        <v>12</v>
      </c>
      <c r="F224" s="2">
        <f t="shared" si="11"/>
        <v>1.2296500692296694E-3</v>
      </c>
    </row>
    <row r="225" spans="1:6" x14ac:dyDescent="0.2">
      <c r="A225" s="2">
        <v>34</v>
      </c>
      <c r="B225" s="4">
        <f t="shared" si="9"/>
        <v>0.13333333333333333</v>
      </c>
      <c r="C225" s="6">
        <f>$I$7*B225/((1+$I$7)-B225)</f>
        <v>1.3793103448275862E-2</v>
      </c>
      <c r="D225" s="3">
        <f>C225*(1-$I$6) + $I$6</f>
        <v>9.1447189790931305E-2</v>
      </c>
      <c r="E225" s="2">
        <f t="shared" si="10"/>
        <v>12</v>
      </c>
      <c r="F225" s="2">
        <f t="shared" si="11"/>
        <v>1.1927605671527793E-3</v>
      </c>
    </row>
    <row r="226" spans="1:6" x14ac:dyDescent="0.2">
      <c r="A226" s="2">
        <v>33</v>
      </c>
      <c r="B226" s="4">
        <f t="shared" si="9"/>
        <v>0.12941176470588237</v>
      </c>
      <c r="C226" s="6">
        <f>$I$7*B226/((1+$I$7)-B226)</f>
        <v>1.3333333333333334E-2</v>
      </c>
      <c r="D226" s="3">
        <f>C226*(1-$I$6) + $I$6</f>
        <v>9.1023622047244096E-2</v>
      </c>
      <c r="E226" s="2">
        <f t="shared" si="10"/>
        <v>12</v>
      </c>
      <c r="F226" s="2">
        <f t="shared" si="11"/>
        <v>1.1569777501381959E-3</v>
      </c>
    </row>
    <row r="227" spans="1:6" x14ac:dyDescent="0.2">
      <c r="A227" s="2">
        <v>32</v>
      </c>
      <c r="B227" s="4">
        <f t="shared" si="9"/>
        <v>0.12549019607843137</v>
      </c>
      <c r="C227" s="6">
        <f>$I$7*B227/((1+$I$7)-B227)</f>
        <v>1.2877263581488933E-2</v>
      </c>
      <c r="D227" s="3">
        <f>C227*(1-$I$6) + $I$6</f>
        <v>9.0603463299481934E-2</v>
      </c>
      <c r="E227" s="2">
        <f t="shared" si="10"/>
        <v>12</v>
      </c>
      <c r="F227" s="2">
        <f t="shared" si="11"/>
        <v>1.12226841763405E-3</v>
      </c>
    </row>
    <row r="228" spans="1:6" x14ac:dyDescent="0.2">
      <c r="A228" s="2">
        <v>31</v>
      </c>
      <c r="B228" s="4">
        <f t="shared" si="9"/>
        <v>0.12156862745098039</v>
      </c>
      <c r="C228" s="6">
        <f>$I$7*B228/((1+$I$7)-B228)</f>
        <v>1.2424849699398798E-2</v>
      </c>
      <c r="D228" s="3">
        <f>C228*(1-$I$6) + $I$6</f>
        <v>9.0186672557713857E-2</v>
      </c>
      <c r="E228" s="2">
        <f t="shared" si="10"/>
        <v>11</v>
      </c>
      <c r="F228" s="2">
        <f t="shared" si="11"/>
        <v>1.0886003651050286E-3</v>
      </c>
    </row>
    <row r="229" spans="1:6" x14ac:dyDescent="0.2">
      <c r="A229" s="2">
        <v>30</v>
      </c>
      <c r="B229" s="4">
        <f t="shared" si="9"/>
        <v>0.11764705882352941</v>
      </c>
      <c r="C229" s="6">
        <f>$I$7*B229/((1+$I$7)-B229)</f>
        <v>1.1976047904191616E-2</v>
      </c>
      <c r="D229" s="3">
        <f>C229*(1-$I$6) + $I$6</f>
        <v>8.9773209486538733E-2</v>
      </c>
      <c r="E229" s="2">
        <f t="shared" si="10"/>
        <v>11</v>
      </c>
      <c r="F229" s="2">
        <f t="shared" si="11"/>
        <v>1.0559423541518778E-3</v>
      </c>
    </row>
    <row r="230" spans="1:6" x14ac:dyDescent="0.2">
      <c r="A230" s="2">
        <v>29</v>
      </c>
      <c r="B230" s="4">
        <f t="shared" si="9"/>
        <v>0.11372549019607843</v>
      </c>
      <c r="C230" s="6">
        <f>$I$7*B230/((1+$I$7)-B230)</f>
        <v>1.1530815109343936E-2</v>
      </c>
      <c r="D230" s="3">
        <f>C230*(1-$I$6) + $I$6</f>
        <v>8.9363034392072757E-2</v>
      </c>
      <c r="E230" s="2">
        <f t="shared" si="10"/>
        <v>11</v>
      </c>
      <c r="F230" s="2">
        <f t="shared" si="11"/>
        <v>1.0242640835273216E-3</v>
      </c>
    </row>
    <row r="231" spans="1:6" x14ac:dyDescent="0.2">
      <c r="A231" s="2">
        <v>28</v>
      </c>
      <c r="B231" s="4">
        <f t="shared" si="9"/>
        <v>0.10980392156862745</v>
      </c>
      <c r="C231" s="6">
        <f>$I$7*B231/((1+$I$7)-B231)</f>
        <v>1.1089108910891089E-2</v>
      </c>
      <c r="D231" s="3">
        <f>C231*(1-$I$6) + $I$6</f>
        <v>8.8956108209246126E-2</v>
      </c>
      <c r="E231" s="2">
        <f t="shared" si="10"/>
        <v>11</v>
      </c>
      <c r="F231" s="2">
        <f t="shared" si="11"/>
        <v>9.9353616102150185E-4</v>
      </c>
    </row>
    <row r="232" spans="1:6" x14ac:dyDescent="0.2">
      <c r="A232" s="2">
        <v>27</v>
      </c>
      <c r="B232" s="4">
        <f t="shared" si="9"/>
        <v>0.10588235294117647</v>
      </c>
      <c r="C232" s="6">
        <f>$I$7*B232/((1+$I$7)-B232)</f>
        <v>1.0650887573964497E-2</v>
      </c>
      <c r="D232" s="3">
        <f>C232*(1-$I$6) + $I$6</f>
        <v>8.8552392489400361E-2</v>
      </c>
      <c r="E232" s="2">
        <f t="shared" si="10"/>
        <v>11</v>
      </c>
      <c r="F232" s="2">
        <f t="shared" si="11"/>
        <v>9.6373007619085678E-4</v>
      </c>
    </row>
    <row r="233" spans="1:6" x14ac:dyDescent="0.2">
      <c r="A233" s="2">
        <v>26</v>
      </c>
      <c r="B233" s="4">
        <f t="shared" si="9"/>
        <v>0.10196078431372549</v>
      </c>
      <c r="C233" s="6">
        <f>$I$7*B233/((1+$I$7)-B233)</f>
        <v>1.0216110019646365E-2</v>
      </c>
      <c r="D233" s="3">
        <f>C233*(1-$I$6) + $I$6</f>
        <v>8.8151849388178147E-2</v>
      </c>
      <c r="E233" s="2">
        <f t="shared" si="10"/>
        <v>11</v>
      </c>
      <c r="F233" s="2">
        <f t="shared" si="11"/>
        <v>9.3481817390513109E-4</v>
      </c>
    </row>
    <row r="234" spans="1:6" x14ac:dyDescent="0.2">
      <c r="A234" s="2">
        <v>25</v>
      </c>
      <c r="B234" s="4">
        <f t="shared" si="9"/>
        <v>9.8039215686274508E-2</v>
      </c>
      <c r="C234" s="6">
        <f>$I$7*B234/((1+$I$7)-B234)</f>
        <v>9.7847358121330719E-3</v>
      </c>
      <c r="D234" s="3">
        <f>C234*(1-$I$6) + $I$6</f>
        <v>8.775444165369739E-2</v>
      </c>
      <c r="E234" s="2">
        <f t="shared" si="10"/>
        <v>11</v>
      </c>
      <c r="F234" s="2">
        <f t="shared" si="11"/>
        <v>9.0677362868797715E-4</v>
      </c>
    </row>
    <row r="235" spans="1:6" x14ac:dyDescent="0.2">
      <c r="A235" s="2">
        <v>24</v>
      </c>
      <c r="B235" s="4">
        <f t="shared" si="9"/>
        <v>9.4117647058823528E-2</v>
      </c>
      <c r="C235" s="6">
        <f>$I$7*B235/((1+$I$7)-B235)</f>
        <v>9.3567251461988323E-3</v>
      </c>
      <c r="D235" s="3">
        <f>C235*(1-$I$6) + $I$6</f>
        <v>8.736013261500207E-2</v>
      </c>
      <c r="E235" s="2">
        <f t="shared" si="10"/>
        <v>11</v>
      </c>
      <c r="F235" s="2">
        <f t="shared" si="11"/>
        <v>8.7957041982733781E-4</v>
      </c>
    </row>
    <row r="236" spans="1:6" x14ac:dyDescent="0.2">
      <c r="A236" s="2">
        <v>23</v>
      </c>
      <c r="B236" s="4">
        <f t="shared" si="9"/>
        <v>9.0196078431372548E-2</v>
      </c>
      <c r="C236" s="6">
        <f>$I$7*B236/((1+$I$7)-B236)</f>
        <v>8.932038834951455E-3</v>
      </c>
      <c r="D236" s="3">
        <f>C236*(1-$I$6) + $I$6</f>
        <v>8.696888617078205E-2</v>
      </c>
      <c r="E236" s="2">
        <f t="shared" si="10"/>
        <v>11</v>
      </c>
      <c r="F236" s="2">
        <f t="shared" si="11"/>
        <v>8.5318330723251773E-4</v>
      </c>
    </row>
    <row r="237" spans="1:6" x14ac:dyDescent="0.2">
      <c r="A237" s="2">
        <v>22</v>
      </c>
      <c r="B237" s="4">
        <f t="shared" si="9"/>
        <v>8.6274509803921567E-2</v>
      </c>
      <c r="C237" s="6">
        <f>$I$7*B237/((1+$I$7)-B237)</f>
        <v>8.5106382978723388E-3</v>
      </c>
      <c r="D237" s="3">
        <f>C237*(1-$I$6) + $I$6</f>
        <v>8.6580666778354826E-2</v>
      </c>
      <c r="E237" s="2">
        <f t="shared" si="10"/>
        <v>11</v>
      </c>
      <c r="F237" s="2">
        <f t="shared" si="11"/>
        <v>8.2758780801554224E-4</v>
      </c>
    </row>
    <row r="238" spans="1:6" x14ac:dyDescent="0.2">
      <c r="A238" s="2">
        <v>21</v>
      </c>
      <c r="B238" s="4">
        <f t="shared" si="9"/>
        <v>8.2352941176470587E-2</v>
      </c>
      <c r="C238" s="6">
        <f>$I$7*B238/((1+$I$7)-B238)</f>
        <v>8.0924855491329474E-3</v>
      </c>
      <c r="D238" s="3">
        <f>C238*(1-$I$6) + $I$6</f>
        <v>8.6195439442902005E-2</v>
      </c>
      <c r="E238" s="2">
        <f t="shared" si="10"/>
        <v>11</v>
      </c>
      <c r="F238" s="2">
        <f t="shared" si="11"/>
        <v>8.0276017377507594E-4</v>
      </c>
    </row>
    <row r="239" spans="1:6" x14ac:dyDescent="0.2">
      <c r="A239" s="2">
        <v>20</v>
      </c>
      <c r="B239" s="4">
        <f t="shared" si="9"/>
        <v>7.8431372549019607E-2</v>
      </c>
      <c r="C239" s="6">
        <f>$I$7*B239/((1+$I$7)-B239)</f>
        <v>7.6775431861804211E-3</v>
      </c>
      <c r="D239" s="3">
        <f>C239*(1-$I$6) + $I$6</f>
        <v>8.5813169706953615E-2</v>
      </c>
      <c r="E239" s="2">
        <f t="shared" si="10"/>
        <v>11</v>
      </c>
      <c r="F239" s="2">
        <f t="shared" si="11"/>
        <v>7.7867736856182372E-4</v>
      </c>
    </row>
    <row r="240" spans="1:6" x14ac:dyDescent="0.2">
      <c r="A240" s="2">
        <v>19</v>
      </c>
      <c r="B240" s="4">
        <f t="shared" si="9"/>
        <v>7.4509803921568626E-2</v>
      </c>
      <c r="C240" s="6">
        <f>$I$7*B240/((1+$I$7)-B240)</f>
        <v>7.2657743785850852E-3</v>
      </c>
      <c r="D240" s="3">
        <f>C240*(1-$I$6) + $I$6</f>
        <v>8.5433823640113815E-2</v>
      </c>
      <c r="E240" s="2">
        <f t="shared" si="10"/>
        <v>11</v>
      </c>
      <c r="F240" s="2">
        <f t="shared" si="11"/>
        <v>7.5531704750496896E-4</v>
      </c>
    </row>
    <row r="241" spans="1:6" x14ac:dyDescent="0.2">
      <c r="A241" s="2">
        <v>18</v>
      </c>
      <c r="B241" s="4">
        <f t="shared" si="9"/>
        <v>7.0588235294117646E-2</v>
      </c>
      <c r="C241" s="6">
        <f>$I$7*B241/((1+$I$7)-B241)</f>
        <v>6.8571428571428568E-3</v>
      </c>
      <c r="D241" s="3">
        <f>C241*(1-$I$6) + $I$6</f>
        <v>8.5057367829021374E-2</v>
      </c>
      <c r="E241" s="2">
        <f t="shared" si="10"/>
        <v>11</v>
      </c>
      <c r="F241" s="2">
        <f t="shared" si="11"/>
        <v>7.3265753607981991E-4</v>
      </c>
    </row>
    <row r="242" spans="1:6" x14ac:dyDescent="0.2">
      <c r="A242" s="2">
        <v>17</v>
      </c>
      <c r="B242" s="4">
        <f t="shared" si="9"/>
        <v>6.6666666666666666E-2</v>
      </c>
      <c r="C242" s="6">
        <f>$I$7*B242/((1+$I$7)-B242)</f>
        <v>6.4516129032258064E-3</v>
      </c>
      <c r="D242" s="3">
        <f>C242*(1-$I$6) + $I$6</f>
        <v>8.4683769367538742E-2</v>
      </c>
      <c r="E242" s="2">
        <f t="shared" si="10"/>
        <v>11</v>
      </c>
      <c r="F242" s="2">
        <f t="shared" si="11"/>
        <v>7.1067780999742531E-4</v>
      </c>
    </row>
    <row r="243" spans="1:6" x14ac:dyDescent="0.2">
      <c r="A243" s="2">
        <v>16</v>
      </c>
      <c r="B243" s="4">
        <f t="shared" si="9"/>
        <v>6.2745098039215685E-2</v>
      </c>
      <c r="C243" s="6">
        <f>$I$7*B243/((1+$I$7)-B243)</f>
        <v>6.0491493383742915E-3</v>
      </c>
      <c r="D243" s="3">
        <f>C243*(1-$I$6) + $I$6</f>
        <v>8.4312995847163716E-2</v>
      </c>
      <c r="E243" s="2">
        <f t="shared" si="10"/>
        <v>11</v>
      </c>
      <c r="F243" s="2">
        <f t="shared" si="11"/>
        <v>6.8935747569750258E-4</v>
      </c>
    </row>
    <row r="244" spans="1:6" x14ac:dyDescent="0.2">
      <c r="A244" s="2">
        <v>15</v>
      </c>
      <c r="B244" s="4">
        <f t="shared" si="9"/>
        <v>5.8823529411764705E-2</v>
      </c>
      <c r="C244" s="6">
        <f>$I$7*B244/((1+$I$7)-B244)</f>
        <v>5.6497175141242929E-3</v>
      </c>
      <c r="D244" s="3">
        <f>C244*(1-$I$6) + $I$6</f>
        <v>8.3945015347657817E-2</v>
      </c>
      <c r="E244" s="2">
        <f t="shared" si="10"/>
        <v>11</v>
      </c>
      <c r="F244" s="2">
        <f t="shared" si="11"/>
        <v>6.6867675142657753E-4</v>
      </c>
    </row>
    <row r="245" spans="1:6" x14ac:dyDescent="0.2">
      <c r="A245" s="2">
        <v>14</v>
      </c>
      <c r="B245" s="4">
        <f t="shared" si="9"/>
        <v>5.4901960784313725E-2</v>
      </c>
      <c r="C245" s="6">
        <f>$I$7*B245/((1+$I$7)-B245)</f>
        <v>5.2532833020637899E-3</v>
      </c>
      <c r="D245" s="3">
        <f>C245*(1-$I$6) + $I$6</f>
        <v>8.3579796427885544E-2</v>
      </c>
      <c r="E245" s="2">
        <f t="shared" si="10"/>
        <v>11</v>
      </c>
      <c r="F245" s="2">
        <f t="shared" si="11"/>
        <v>6.4861644888378016E-4</v>
      </c>
    </row>
    <row r="246" spans="1:6" x14ac:dyDescent="0.2">
      <c r="A246" s="2">
        <v>13</v>
      </c>
      <c r="B246" s="4">
        <f t="shared" si="9"/>
        <v>5.0980392156862744E-2</v>
      </c>
      <c r="C246" s="6">
        <f>$I$7*B246/((1+$I$7)-B246)</f>
        <v>4.8598130841121497E-3</v>
      </c>
      <c r="D246" s="3">
        <f>C246*(1-$I$6) + $I$6</f>
        <v>8.321730811685922E-2</v>
      </c>
      <c r="E246" s="2">
        <f t="shared" si="10"/>
        <v>11</v>
      </c>
      <c r="F246" s="2">
        <f t="shared" si="11"/>
        <v>6.2915795541726677E-4</v>
      </c>
    </row>
    <row r="247" spans="1:6" x14ac:dyDescent="0.2">
      <c r="A247" s="2">
        <v>12</v>
      </c>
      <c r="B247" s="4">
        <f t="shared" si="9"/>
        <v>4.7058823529411764E-2</v>
      </c>
      <c r="C247" s="6">
        <f>$I$7*B247/((1+$I$7)-B247)</f>
        <v>4.4692737430167603E-3</v>
      </c>
      <c r="D247" s="3">
        <f>C247*(1-$I$6) + $I$6</f>
        <v>8.2857519904983939E-2</v>
      </c>
      <c r="E247" s="2">
        <f t="shared" si="10"/>
        <v>11</v>
      </c>
      <c r="F247" s="2">
        <f t="shared" si="11"/>
        <v>6.1028321675474879E-4</v>
      </c>
    </row>
    <row r="248" spans="1:6" x14ac:dyDescent="0.2">
      <c r="A248" s="2">
        <v>11</v>
      </c>
      <c r="B248" s="4">
        <f t="shared" si="9"/>
        <v>4.3137254901960784E-2</v>
      </c>
      <c r="C248" s="6">
        <f>$I$7*B248/((1+$I$7)-B248)</f>
        <v>4.081632653061224E-3</v>
      </c>
      <c r="D248" s="3">
        <f>C248*(1-$I$6) + $I$6</f>
        <v>8.2500401735497345E-2</v>
      </c>
      <c r="E248" s="2">
        <f t="shared" si="10"/>
        <v>10</v>
      </c>
      <c r="F248" s="2">
        <f t="shared" si="11"/>
        <v>5.9197472025210632E-4</v>
      </c>
    </row>
    <row r="249" spans="1:6" x14ac:dyDescent="0.2">
      <c r="A249" s="2">
        <v>10</v>
      </c>
      <c r="B249" s="4">
        <f t="shared" si="9"/>
        <v>3.9215686274509803E-2</v>
      </c>
      <c r="C249" s="6">
        <f>$I$7*B249/((1+$I$7)-B249)</f>
        <v>3.6968576709796672E-3</v>
      </c>
      <c r="D249" s="3">
        <f>C249*(1-$I$6) + $I$6</f>
        <v>8.2145923996099379E-2</v>
      </c>
      <c r="E249" s="2">
        <f t="shared" si="10"/>
        <v>10</v>
      </c>
      <c r="F249" s="2">
        <f t="shared" si="11"/>
        <v>5.7421547864454315E-4</v>
      </c>
    </row>
    <row r="250" spans="1:6" x14ac:dyDescent="0.2">
      <c r="A250" s="2">
        <v>9</v>
      </c>
      <c r="B250" s="4">
        <f t="shared" si="9"/>
        <v>3.5294117647058823E-2</v>
      </c>
      <c r="C250" s="6">
        <f>$I$7*B250/((1+$I$7)-B250)</f>
        <v>3.3149171270718232E-3</v>
      </c>
      <c r="D250" s="3">
        <f>C250*(1-$I$6) + $I$6</f>
        <v>8.179405751076696E-2</v>
      </c>
      <c r="E250" s="2">
        <f t="shared" si="10"/>
        <v>10</v>
      </c>
      <c r="F250" s="2">
        <f t="shared" si="11"/>
        <v>5.5698901428520684E-4</v>
      </c>
    </row>
    <row r="251" spans="1:6" x14ac:dyDescent="0.2">
      <c r="A251" s="2">
        <v>8</v>
      </c>
      <c r="B251" s="4">
        <f t="shared" si="9"/>
        <v>3.1372549019607843E-2</v>
      </c>
      <c r="C251" s="6">
        <f>$I$7*B251/((1+$I$7)-B251)</f>
        <v>2.935779816513761E-3</v>
      </c>
      <c r="D251" s="3">
        <f>C251*(1-$I$6) + $I$6</f>
        <v>8.1444773531748893E-2</v>
      </c>
      <c r="E251" s="2">
        <f t="shared" si="10"/>
        <v>10</v>
      </c>
      <c r="F251" s="2">
        <f t="shared" si="11"/>
        <v>5.4027934385665068E-4</v>
      </c>
    </row>
    <row r="252" spans="1:6" x14ac:dyDescent="0.2">
      <c r="A252" s="2">
        <v>7</v>
      </c>
      <c r="B252" s="4">
        <f t="shared" si="9"/>
        <v>2.7450980392156862E-2</v>
      </c>
      <c r="C252" s="6">
        <f>$I$7*B252/((1+$I$7)-B252)</f>
        <v>2.5594149908592318E-3</v>
      </c>
      <c r="D252" s="3">
        <f>C252*(1-$I$6) + $I$6</f>
        <v>8.1098043731736458E-2</v>
      </c>
      <c r="E252" s="2">
        <f t="shared" si="10"/>
        <v>10</v>
      </c>
      <c r="F252" s="2">
        <f t="shared" si="11"/>
        <v>5.240709635409512E-4</v>
      </c>
    </row>
    <row r="253" spans="1:6" x14ac:dyDescent="0.2">
      <c r="A253" s="2">
        <v>6</v>
      </c>
      <c r="B253" s="4">
        <f t="shared" si="9"/>
        <v>2.3529411764705882E-2</v>
      </c>
      <c r="C253" s="6">
        <f>$I$7*B253/((1+$I$7)-B253)</f>
        <v>2.185792349726776E-3</v>
      </c>
      <c r="D253" s="3">
        <f>C253*(1-$I$6) + $I$6</f>
        <v>8.0753840196204976E-2</v>
      </c>
      <c r="E253" s="2">
        <f t="shared" si="10"/>
        <v>10</v>
      </c>
      <c r="F253" s="2">
        <f t="shared" si="11"/>
        <v>5.0834883463472271E-4</v>
      </c>
    </row>
    <row r="254" spans="1:6" x14ac:dyDescent="0.2">
      <c r="A254" s="2">
        <v>5</v>
      </c>
      <c r="B254" s="4">
        <f t="shared" si="9"/>
        <v>1.9607843137254902E-2</v>
      </c>
      <c r="C254" s="6">
        <f>$I$7*B254/((1+$I$7)-B254)</f>
        <v>1.8148820326678763E-3</v>
      </c>
      <c r="D254" s="3">
        <f>C254*(1-$I$6) + $I$6</f>
        <v>8.0412135415922376E-2</v>
      </c>
      <c r="E254" s="2">
        <f t="shared" si="10"/>
        <v>10</v>
      </c>
      <c r="F254" s="2">
        <f t="shared" si="11"/>
        <v>4.9309836959568107E-4</v>
      </c>
    </row>
    <row r="255" spans="1:6" x14ac:dyDescent="0.2">
      <c r="A255" s="2">
        <v>4</v>
      </c>
      <c r="B255" s="4">
        <f t="shared" si="9"/>
        <v>1.5686274509803921E-2</v>
      </c>
      <c r="C255" s="6">
        <f>$I$7*B255/((1+$I$7)-B255)</f>
        <v>1.4466546112115732E-3</v>
      </c>
      <c r="D255" s="3">
        <f>C255*(1-$I$6) + $I$6</f>
        <v>8.0072902279620106E-2</v>
      </c>
      <c r="E255" s="2">
        <f t="shared" si="10"/>
        <v>10</v>
      </c>
      <c r="F255" s="2">
        <f t="shared" si="11"/>
        <v>4.7830541850781065E-4</v>
      </c>
    </row>
    <row r="256" spans="1:6" x14ac:dyDescent="0.2">
      <c r="A256" s="2">
        <v>3</v>
      </c>
      <c r="B256" s="4">
        <f t="shared" si="9"/>
        <v>1.1764705882352941E-2</v>
      </c>
      <c r="C256" s="6">
        <f>$I$7*B256/((1+$I$7)-B256)</f>
        <v>1.0810810810810811E-3</v>
      </c>
      <c r="D256" s="3">
        <f>C256*(1-$I$6) + $I$6</f>
        <v>7.9736114066822725E-2</v>
      </c>
      <c r="E256" s="2">
        <f t="shared" si="10"/>
        <v>10</v>
      </c>
      <c r="F256" s="2">
        <f t="shared" si="11"/>
        <v>4.6395625595257631E-4</v>
      </c>
    </row>
    <row r="257" spans="1:6" x14ac:dyDescent="0.2">
      <c r="A257" s="2">
        <v>2</v>
      </c>
      <c r="B257" s="4">
        <f t="shared" si="9"/>
        <v>7.8431372549019607E-3</v>
      </c>
      <c r="C257" s="6">
        <f>$I$7*B257/((1+$I$7)-B257)</f>
        <v>7.1813285457809689E-4</v>
      </c>
      <c r="D257" s="3">
        <f>C257*(1-$I$6) + $I$6</f>
        <v>7.9401744440831784E-2</v>
      </c>
      <c r="E257" s="2">
        <f t="shared" si="10"/>
        <v>10</v>
      </c>
      <c r="F257" s="2">
        <f t="shared" si="11"/>
        <v>4.5003756827399901E-4</v>
      </c>
    </row>
    <row r="258" spans="1:6" x14ac:dyDescent="0.2">
      <c r="A258" s="2">
        <v>1</v>
      </c>
      <c r="B258" s="4">
        <f t="shared" si="9"/>
        <v>3.9215686274509803E-3</v>
      </c>
      <c r="C258" s="6">
        <f>$I$7*B258/((1+$I$7)-B258)</f>
        <v>3.5778175313059033E-4</v>
      </c>
      <c r="D258" s="3">
        <f>C258*(1-$I$6) + $I$6</f>
        <v>7.9069767441860464E-2</v>
      </c>
      <c r="E258" s="2">
        <f t="shared" si="10"/>
        <v>10</v>
      </c>
      <c r="F258" s="2">
        <f t="shared" si="11"/>
        <v>4.3653644122577907E-4</v>
      </c>
    </row>
    <row r="259" spans="1:6" x14ac:dyDescent="0.2">
      <c r="A259" s="2">
        <v>0</v>
      </c>
      <c r="B259" s="4">
        <f t="shared" si="9"/>
        <v>0</v>
      </c>
      <c r="C259" s="6">
        <f>$I$7*B259/((1+$I$7)-B259)</f>
        <v>0</v>
      </c>
      <c r="D259" s="3">
        <f>C259*(1-$I$6) + $I$6</f>
        <v>7.874015748031496E-2</v>
      </c>
      <c r="E259" s="2">
        <f t="shared" si="10"/>
        <v>10</v>
      </c>
      <c r="F259" s="2">
        <f t="shared" si="11"/>
        <v>4.2344034798900569E-4</v>
      </c>
    </row>
    <row r="260" spans="1:6" x14ac:dyDescent="0.2">
      <c r="A260" s="8"/>
      <c r="B260" s="8"/>
    </row>
    <row r="261" spans="1:6" x14ac:dyDescent="0.2">
      <c r="A261" s="8"/>
      <c r="B261" s="8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horizontalDpi="12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Heise Zeitschriften Verlag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ct Redaktion</dc:creator>
  <cp:lastModifiedBy>Carsten</cp:lastModifiedBy>
  <dcterms:created xsi:type="dcterms:W3CDTF">2012-09-12T17:30:28Z</dcterms:created>
  <dcterms:modified xsi:type="dcterms:W3CDTF">2026-02-23T15:56:28Z</dcterms:modified>
</cp:coreProperties>
</file>